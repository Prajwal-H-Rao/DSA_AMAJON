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63e8c58b4049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f61538cbd1e485a"/>
    <x:sheet xmlns:r="http://schemas.openxmlformats.org/officeDocument/2006/relationships" name="Question Tracker" sheetId="2" r:id="Rc1cf6be1dbbd4898"/>
    <x:sheet xmlns:r="http://schemas.openxmlformats.org/officeDocument/2006/relationships" name="Python to C++" sheetId="3" r:id="R037406fc60df4228"/>
    <x:sheet xmlns:r="http://schemas.openxmlformats.org/officeDocument/2006/relationships" name="8-Week Roadmap" sheetId="4" r:id="Rf7d5351275904df6"/>
    <x:sheet xmlns:r="http://schemas.openxmlformats.org/officeDocument/2006/relationships" name="Pattern Library" sheetId="5" r:id="R510d86ace5cb4f4a"/>
    <x:sheet xmlns:r="http://schemas.openxmlformats.org/officeDocument/2006/relationships" name="Sources &amp; Notes" sheetId="6" r:id="R2e22b22524834f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.0"/>
    <x:numFmt numFmtId="202" formatCode="yyyy-mm-dd"/>
  </x:numFmts>
  <x:fonts count="11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6324F"/>
      <x:name val="Carlito"/>
    </x:font>
    <x:font>
      <x:b/>
      <x:sz val="11"/>
      <x:color rgb="FF16324F"/>
      <x:name val="Carlito"/>
    </x:font>
    <x:font>
      <x:b/>
      <x:sz val="12"/>
      <x:color rgb="FF16324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i/>
      <x:sz val="11"/>
      <x:color rgb="FF16324F"/>
      <x:name val="Carlito"/>
    </x:font>
    <x:font>
      <x:b/>
      <x:sz val="12"/>
      <x:color rgb="FFFFFFFF"/>
      <x:name val="Carlito"/>
    </x:font>
    <x:font>
      <x:b/>
      <x:sz val="15"/>
      <x:color rgb="FFFFFFFF"/>
      <x:name val="Carlito"/>
    </x:font>
    <x:font>
      <x:sz val="11"/>
      <x:color rgb="FF16324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BEAFE"/>
      </x:patternFill>
    </x:fill>
    <x:fill>
      <x:patternFill patternType="solid">
        <x:fgColor rgb="FFF1F5F9"/>
      </x:patternFill>
    </x:fill>
    <x:fill>
      <x:patternFill patternType="solid">
        <x:fgColor rgb="FF0F766E"/>
      </x:patternFill>
    </x:fill>
    <x:fill>
      <x:patternFill patternType="solid">
        <x:fgColor rgb="FF1D4ED8"/>
      </x:patternFill>
    </x:fill>
  </x:fills>
  <x:borders count="2">
    <x:border/>
    <x:border/>
  </x:borders>
  <x:cellStyleXfs count="1">
    <x:xf numFmtId="0" fontId="0" fillId="0" borderId="0"/>
  </x:cellStyleXfs>
  <x:cellXfs count="1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horizontal="center" vertic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0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wrapText="1"/>
    </x:xf>
    <x:xf numFmtId="0" fontId="7" fillId="3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202" fontId="0" fillId="0" borderId="0" xfId="0" applyNumberFormat="1" applyFont="1" applyFill="1" applyBorder="1" applyAlignment="1">
      <x:alignment horizontal="center" vertical="top" wrapText="1"/>
    </x:xf>
    <x:xf numFmtId="202" fontId="0" fillId="0" borderId="1" xfId="0" applyNumberFormat="1" applyFont="1" applyFill="1" applyBorder="1" applyAlignment="1">
      <x:alignment horizontal="center" vertical="top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vertical="center" wrapText="1"/>
    </x:xf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wrapText="1"/>
    </x:xf>
    <x:xf numFmtId="0" fontId="8" fillId="2" borderId="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center"/>
    </x:xf>
    <x:xf numFmtId="0" fontId="9" fillId="2" borderId="0" xfId="0" applyNumberFormat="1" applyFont="1" applyFill="1" applyBorder="1" applyAlignment="1">
      <x:alignment horizontal="center" vertical="center"/>
    </x:xf>
    <x:xf numFmtId="0" fontId="9" fillId="2" borderId="1" xfId="0" applyNumberFormat="1" applyFont="1" applyFill="1" applyBorder="1"/>
    <x:xf numFmtId="0" fontId="9" fillId="2" borderId="1" xfId="0" applyNumberFormat="1" applyFont="1" applyFill="1" applyBorder="1" applyAlignment="1">
      <x:alignment horizontal="center"/>
    </x:xf>
    <x:xf numFmtId="0" fontId="9" fillId="2" borderId="1" xfId="0" applyNumberFormat="1" applyFont="1" applyFill="1" applyBorder="1" applyAlignment="1">
      <x:alignment horizontal="center" vertical="center"/>
    </x:xf>
    <x:xf numFmtId="0" fontId="10" fillId="4" borderId="0" xfId="0" applyNumberFormat="1" applyFont="1" applyFill="1" applyBorder="1"/>
    <x:xf numFmtId="0" fontId="10" fillId="4" borderId="0" xfId="0" applyNumberFormat="1" applyFont="1" applyFill="1" applyBorder="1" applyAlignment="1">
      <x:alignment wrapText="1"/>
    </x:xf>
    <x:xf numFmtId="0" fontId="10" fillId="4" borderId="0" xfId="0" applyNumberFormat="1" applyFont="1" applyFill="1" applyBorder="1" applyAlignment="1">
      <x:alignment vertical="center" wrapText="1"/>
    </x:xf>
    <x:xf numFmtId="0" fontId="10" fillId="4" borderId="1" xfId="0" applyNumberFormat="1" applyFont="1" applyFill="1" applyBorder="1"/>
    <x:xf numFmtId="0" fontId="10" fillId="4" borderId="1" xfId="0" applyNumberFormat="1" applyFont="1" applyFill="1" applyBorder="1" applyAlignment="1">
      <x:alignment wrapText="1"/>
    </x:xf>
    <x:xf numFmtId="0" fontId="10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 applyAlignment="1">
      <x:alignment horizontal="center" wrapText="1"/>
    </x:xf>
    <x:xf numFmtId="201" fontId="4" fillId="0" borderId="0" xfId="0" applyNumberFormat="1" applyFont="1" applyFill="1" applyBorder="1" applyAlignment="1">
      <x:alignment horizontal="center" vertical="center" wrapText="1"/>
    </x:xf>
    <x:xf numFmtId="200" fontId="4" fillId="0" borderId="0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8"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DE68A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956d20e7234358" /><Relationship Type="http://schemas.openxmlformats.org/officeDocument/2006/relationships/theme" Target="/xl/theme/theme1.xml" Id="R22f83b2e17e24b12" /><Relationship Type="http://schemas.openxmlformats.org/officeDocument/2006/relationships/sharedStrings" Target="/xl/sharedStrings.xml" Id="Re19e8a86d1b247da" /><Relationship Type="http://schemas.openxmlformats.org/officeDocument/2006/relationships/worksheet" Target="/xl/worksheets/sheet1.xml" Id="R6f61538cbd1e485a" /><Relationship Type="http://schemas.openxmlformats.org/officeDocument/2006/relationships/worksheet" Target="/xl/worksheets/sheet2.xml" Id="Rc1cf6be1dbbd4898" /><Relationship Type="http://schemas.openxmlformats.org/officeDocument/2006/relationships/worksheet" Target="/xl/worksheets/sheet3.xml" Id="R037406fc60df4228" /><Relationship Type="http://schemas.openxmlformats.org/officeDocument/2006/relationships/worksheet" Target="/xl/worksheets/sheet4.xml" Id="Rf7d5351275904df6" /><Relationship Type="http://schemas.openxmlformats.org/officeDocument/2006/relationships/worksheet" Target="/xl/worksheets/sheet5.xml" Id="R510d86ace5cb4f4a" /><Relationship Type="http://schemas.openxmlformats.org/officeDocument/2006/relationships/worksheet" Target="/xl/worksheets/sheet6.xml" Id="R2e22b22524834f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b22f95256394e4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400-new-problem goal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'Dashboard'!$D$7:$D$8</c:f>
              <c:strCache>
                <c:ptCount val="0"/>
              </c:strCache>
            </c:strRef>
          </c:cat>
          <c:val>
            <c:numRef>
              <c:f>'Dashboard'!$E$7:$E$8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8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b22f95256394e4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mazonQuestionTracker" displayName="AmazonQuestionTracker" ref="A3:S403" headerRowCount="1" totalsRowCount="0" totalsRowShown="0">
  <x:tableColumns count="19">
    <x:tableColumn id="1" name="Study Order"/>
    <x:tableColumn id="2" name="LC ID"/>
    <x:tableColumn id="3" name="Problem"/>
    <x:tableColumn id="4" name="Difficulty"/>
    <x:tableColumn id="5" name="Primary Pattern / Topic"/>
    <x:tableColumn id="6" name="Amazon Prep Priority"/>
    <x:tableColumn id="7" name="Work Type"/>
    <x:tableColumn id="8" name="C++ Status"/>
    <x:tableColumn id="9" name="Brute-Force Baseline"/>
    <x:tableColumn id="10" name="Optimized Approach (C++)"/>
    <x:tableColumn id="11" name="Target Time Complexity"/>
    <x:tableColumn id="12" name="Target Space Complexity"/>
    <x:tableColumn id="13" name="Attempts"/>
    <x:tableColumn id="14" name="Last Attempted"/>
    <x:tableColumn id="15" name="Confidence (1–5)"/>
    <x:tableColumn id="16" name="Revision Due"/>
    <x:tableColumn id="17" name="LeetCode Link"/>
    <x:tableColumn id="18" name="Notes / Edge Cases"/>
    <x:tableColumn id="19" name="New C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ythonCppTracker" displayName="PythonCppTracker" ref="A3:K29" headerRowCount="1" totalsRowCount="0" totalsRowShown="0">
  <x:tableColumns count="11">
    <x:tableColumn id="1" name="Slot"/>
    <x:tableColumn id="2" name="Problem Title"/>
    <x:tableColumn id="3" name="LC ID"/>
    <x:tableColumn id="4" name="Difficulty"/>
    <x:tableColumn id="5" name="Pattern / Topic"/>
    <x:tableColumn id="6" name="C++ Status"/>
    <x:tableColumn id="7" name="Conversion Date"/>
    <x:tableColumn id="8" name="Attempts"/>
    <x:tableColumn id="9" name="Confidence (1–5)"/>
    <x:tableColumn id="10" name="C++ Solution Link"/>
    <x:tableColumn id="11" name="Python→C++ Notes / Bugs Learne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tternLibraryTable" displayName="PatternLibraryTable" ref="A4:F22" headerRowCount="1" totalsRowCount="0" totalsRowShown="0">
  <x:tableColumns count="6">
    <x:tableColumn id="1" name="Pattern"/>
    <x:tableColumn id="2" name="Signal in the question"/>
    <x:tableColumn id="3" name="Brute-force baseline"/>
    <x:tableColumn id="4" name="Optimized move"/>
    <x:tableColumn id="5" name="Common target complexity"/>
    <x:tableColumn id="6" name="C++ reminder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sTable" displayName="SourcesTable" ref="A4:D12" headerRowCount="1" totalsRowCount="0" totalsRowShown="0">
  <x:tableColumns count="4">
    <x:tableColumn id="1" name="Item"/>
    <x:tableColumn id="2" name="Source / Value"/>
    <x:tableColumn id="3" name="URL"/>
    <x:tableColumn id="4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a648ff037404f6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459030ba11f4b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fbd0a2c6ee1463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cd25fffb0fc94c8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89b3c4b5f876493e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3" hidden="0" customWidth="1"/>
    <x:col min="2" max="2" width="21" hidden="0" customWidth="1"/>
    <x:col min="3" max="3" width="60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5" t="str">
        <x:v>AMAZON SDE LEETCODE TRACKER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3" ht="30" customHeight="1">
      <x:c r="A3" s="13" t="str">
        <x:v>400 NEW unique problems, plus a separate Python→C++ conversion track. Revision/conversion work does not count toward the 400.</x:v>
      </x:c>
      <x:c r="B3" s="13"/>
      <x:c r="C3" s="13"/>
      <x:c r="D3" s="13"/>
      <x:c r="E3" s="13"/>
      <x:c r="F3" s="13"/>
      <x:c r="G3" s="13"/>
      <x:c r="H3" s="13"/>
    </x:row>
    <x:row r="5" ht="24" customHeight="1">
      <x:c r="A5" s="21" t="str">
        <x:v>Goal: new unique problems</x:v>
      </x:c>
      <x:c r="B5" s="108" t="n">
        <x:v>400</x:v>
      </x:c>
      <x:c r="C5" s="47"/>
      <x:c r="D5" s="109" t="str">
        <x:v>PROGRESS SNAPSHOT</x:v>
      </x:c>
      <x:c r="E5" s="109"/>
      <x:c r="F5" s="109"/>
      <x:c r="G5" s="109"/>
      <x:c r="H5" s="109"/>
    </x:row>
    <x:row r="6" ht="24" customHeight="1">
      <x:c r="A6" s="21" t="str">
        <x:v>Target horizon (days)</x:v>
      </x:c>
      <x:c r="B6" s="108" t="n">
        <x:v>60</x:v>
      </x:c>
      <x:c r="C6" s="47"/>
      <x:c r="D6" s="46" t="str">
        <x:v>Metric</x:v>
      </x:c>
      <x:c r="E6" s="46" t="str">
        <x:v>Count</x:v>
      </x:c>
      <x:c r="F6" s="47"/>
      <x:c r="G6" s="47"/>
      <x:c r="H6" s="47"/>
    </x:row>
    <x:row r="7" ht="24" customHeight="1">
      <x:c r="A7" s="21" t="str">
        <x:v>New problems completed</x:v>
      </x:c>
      <x:c r="B7" s="108" t="n">
        <x:f>SUM('Question Tracker'!$S$4:$S$403)</x:f>
        <x:v>0</x:v>
      </x:c>
      <x:c r="C7" s="47"/>
      <x:c r="D7" s="47" t="str">
        <x:v>New problems completed</x:v>
      </x:c>
      <x:c r="E7" s="47" t="n">
        <x:f>B7</x:f>
        <x:v>0</x:v>
      </x:c>
      <x:c r="F7" s="47"/>
      <x:c r="G7" s="47"/>
      <x:c r="H7" s="47"/>
    </x:row>
    <x:row r="8" ht="24" customHeight="1">
      <x:c r="A8" s="21" t="str">
        <x:v>New problems remaining</x:v>
      </x:c>
      <x:c r="B8" s="108" t="n">
        <x:f>MAX(0,B5-B7)</x:f>
        <x:v>400</x:v>
      </x:c>
      <x:c r="C8" s="47"/>
      <x:c r="D8" s="47" t="str">
        <x:v>New problems remaining</x:v>
      </x:c>
      <x:c r="E8" s="47" t="n">
        <x:f>B8</x:f>
        <x:v>400</x:v>
      </x:c>
      <x:c r="F8" s="47"/>
      <x:c r="G8" s="47"/>
      <x:c r="H8" s="47"/>
    </x:row>
    <x:row r="9" ht="24" customHeight="1">
      <x:c r="A9" s="21" t="str">
        <x:v>New problems/day needed</x:v>
      </x:c>
      <x:c r="B9" s="110" t="n">
        <x:f>IF(B6&gt;0,B8/B6,0)</x:f>
        <x:v>6.666666666666667</x:v>
      </x:c>
      <x:c r="C9" s="47"/>
      <x:c r="D9" s="47"/>
      <x:c r="E9" s="47"/>
      <x:c r="F9" s="47"/>
      <x:c r="G9" s="47"/>
      <x:c r="H9" s="47"/>
    </x:row>
    <x:row r="10" ht="24" customHeight="1">
      <x:c r="A10" s="21" t="str">
        <x:v>Python→C++ conversions target</x:v>
      </x:c>
      <x:c r="B10" s="108" t="n">
        <x:v>26</x:v>
      </x:c>
      <x:c r="C10" s="47"/>
      <x:c r="D10" s="47"/>
      <x:c r="E10" s="47"/>
      <x:c r="F10" s="47"/>
      <x:c r="G10" s="47"/>
      <x:c r="H10" s="47"/>
    </x:row>
    <x:row r="11" ht="24" customHeight="1">
      <x:c r="A11" s="21" t="str">
        <x:v>Python→C++ conversions completed</x:v>
      </x:c>
      <x:c r="B11" s="108" t="n">
        <x:f>COUNTIFS('Python to C++'!$B$4:$B$29,"&lt;&gt;",'Python to C++'!$F$4:$F$29,"Solved")+COUNTIFS('Python to C++'!$B$4:$B$29,"&lt;&gt;",'Python to C++'!$F$4:$F$29,"Revised")</x:f>
        <x:v>0</x:v>
      </x:c>
      <x:c r="C11" s="47"/>
      <x:c r="D11" s="47"/>
      <x:c r="E11" s="47"/>
      <x:c r="F11" s="47"/>
      <x:c r="G11" s="47"/>
      <x:c r="H11" s="47"/>
    </x:row>
    <x:row r="12" ht="24" customHeight="1">
      <x:c r="A12" s="21" t="str">
        <x:v>Python→C++ conversions remaining</x:v>
      </x:c>
      <x:c r="B12" s="108" t="n">
        <x:f>MAX(0,B10-B11)</x:f>
        <x:v>26</x:v>
      </x:c>
      <x:c r="C12" s="47"/>
      <x:c r="D12" s="47"/>
      <x:c r="E12" s="47"/>
      <x:c r="F12" s="47"/>
      <x:c r="G12" s="47"/>
      <x:c r="H12" s="47"/>
    </x:row>
    <x:row r="13" ht="24" customHeight="1">
      <x:c r="A13" s="21" t="str">
        <x:v>C++ revision problems completed</x:v>
      </x:c>
      <x:c r="B13" s="108" t="n">
        <x:f>COUNTIFS('Question Tracker'!$G$4:$G$403,"C++ revision",'Question Tracker'!$H$4:$H$403,"Revised")</x:f>
        <x:v>0</x:v>
      </x:c>
      <x:c r="C13" s="47"/>
      <x:c r="D13" s="47"/>
      <x:c r="E13" s="47"/>
      <x:c r="F13" s="47"/>
      <x:c r="G13" s="47"/>
      <x:c r="H13" s="47"/>
    </x:row>
    <x:row r="14" ht="24" customHeight="1">
      <x:c r="A14" s="21" t="str">
        <x:v>New-problem completion</x:v>
      </x:c>
      <x:c r="B14" s="111" t="n">
        <x:f>IF(B5&gt;0,B7/B5,0)</x:f>
        <x:v>0</x:v>
      </x:c>
      <x:c r="C14" s="47"/>
      <x:c r="D14" s="47"/>
      <x:c r="E14" s="47"/>
      <x:c r="F14" s="47"/>
      <x:c r="G14" s="47"/>
      <x:c r="H14" s="47"/>
    </x:row>
    <x:row r="15">
      <x:c r="A15" s="47"/>
      <x:c r="B15" s="47"/>
      <x:c r="C15" s="47"/>
      <x:c r="D15" s="47"/>
      <x:c r="E15" s="47"/>
      <x:c r="F15" s="47"/>
      <x:c r="G15" s="47"/>
      <x:c r="H15" s="47"/>
    </x:row>
    <x:row r="16">
      <x:c r="A16" s="47"/>
      <x:c r="B16" s="47"/>
      <x:c r="C16" s="47"/>
      <x:c r="D16" s="47"/>
      <x:c r="E16" s="47"/>
      <x:c r="F16" s="47"/>
      <x:c r="G16" s="47"/>
      <x:c r="H16" s="47"/>
    </x:row>
    <x:row r="17">
      <x:c r="A17" s="112" t="str">
        <x:v>PROFILE SNAPSHOT (LANGUAGE COUNTS, NOT UNIQUE-PROBLEM TOTAL)</x:v>
      </x:c>
      <x:c r="B17" s="112"/>
      <x:c r="C17" s="112"/>
      <x:c r="D17" s="112"/>
      <x:c r="E17" s="112"/>
      <x:c r="F17" s="112"/>
      <x:c r="G17" s="112"/>
      <x:c r="H17" s="112"/>
    </x:row>
    <x:row r="18">
      <x:c r="A18" s="52" t="str">
        <x:v>Metric</x:v>
      </x:c>
      <x:c r="B18" s="52" t="str">
        <x:v>Value</x:v>
      </x:c>
      <x:c r="C18" s="52" t="str">
        <x:v>Interpretation</x:v>
      </x:c>
      <x:c r="D18" s="47"/>
      <x:c r="E18" s="47"/>
      <x:c r="F18" s="47"/>
      <x:c r="G18" s="47"/>
      <x:c r="H18" s="47"/>
    </x:row>
    <x:row r="19" ht="34" customHeight="1">
      <x:c r="A19" s="53" t="str">
        <x:v>C++ language count shown on profile</x:v>
      </x:c>
      <x:c r="B19" s="53" t="n">
        <x:v>61</x:v>
      </x:c>
      <x:c r="C19" s="53" t="str">
        <x:v>Already solved in C++ in the profile view; exact titles still need matching.</x:v>
      </x:c>
      <x:c r="D19" s="47"/>
      <x:c r="E19" s="47"/>
      <x:c r="F19" s="47"/>
      <x:c r="G19" s="47"/>
      <x:c r="H19" s="47"/>
    </x:row>
    <x:row r="20" ht="34" customHeight="1">
      <x:c r="A20" s="53" t="str">
        <x:v>Python3 language count shown on profile</x:v>
      </x:c>
      <x:c r="B20" s="53" t="n">
        <x:v>26</x:v>
      </x:c>
      <x:c r="C20" s="53" t="str">
        <x:v>Target to re-implement in C++; exact titles are not exposed in the public profile view.</x:v>
      </x:c>
      <x:c r="D20" s="47"/>
      <x:c r="E20" s="47"/>
      <x:c r="F20" s="47"/>
      <x:c r="G20" s="47"/>
      <x:c r="H20" s="47"/>
    </x:row>
    <x:row r="21" ht="34" customHeight="1">
      <x:c r="A21" s="53" t="str">
        <x:v>Unique problems total</x:v>
      </x:c>
      <x:c r="B21" s="53" t="str">
        <x:v>Not inferred</x:v>
      </x:c>
      <x:c r="C21" s="53" t="str">
        <x:v>Language counts can overlap; do not add 61 + 26 as a unique total.</x:v>
      </x:c>
      <x:c r="D21" s="47"/>
      <x:c r="E21" s="47"/>
      <x:c r="F21" s="47"/>
      <x:c r="G21" s="47"/>
      <x:c r="H21" s="47"/>
    </x:row>
    <x:row r="22">
      <x:c r="A22" s="47"/>
      <x:c r="B22" s="47"/>
      <x:c r="C22" s="47"/>
      <x:c r="D22" s="47"/>
      <x:c r="E22" s="47"/>
      <x:c r="F22" s="47"/>
      <x:c r="G22" s="47"/>
      <x:c r="H22" s="47"/>
    </x:row>
    <x:row r="23">
      <x:c r="A23" s="113" t="str">
        <x:v>HOW TO USE THIS WORKBOOK</x:v>
      </x:c>
      <x:c r="B23" s="113"/>
      <x:c r="C23" s="113"/>
      <x:c r="D23" s="113"/>
      <x:c r="E23" s="113"/>
      <x:c r="F23" s="113"/>
      <x:c r="G23" s="113"/>
      <x:c r="H23" s="113"/>
    </x:row>
    <x:row r="24" ht="30" customHeight="1">
      <x:c r="A24" s="53" t="str">
        <x:v>1</x:v>
      </x:c>
      <x:c r="B24" s="53" t="str">
        <x:v>Use the Question Tracker as the 400-problem fresh-practice bank.</x:v>
      </x:c>
      <x:c r="C24" s="53"/>
      <x:c r="D24" s="53"/>
      <x:c r="E24" s="53"/>
      <x:c r="F24" s="53"/>
      <x:c r="G24" s="53"/>
      <x:c r="H24" s="53"/>
    </x:row>
    <x:row r="25" ht="30" customHeight="1">
      <x:c r="A25" s="53" t="str">
        <x:v>2</x:v>
      </x:c>
      <x:c r="B25" s="53" t="str">
        <x:v>Change Work Type to “Python→C++ conversion” or “C++ revision” for something already solved; it will not add to the 400 target.</x:v>
      </x:c>
      <x:c r="C25" s="53"/>
      <x:c r="D25" s="53"/>
      <x:c r="E25" s="53"/>
      <x:c r="F25" s="53"/>
      <x:c r="G25" s="53"/>
      <x:c r="H25" s="53"/>
    </x:row>
    <x:row r="26" ht="30" customHeight="1">
      <x:c r="A26" s="53" t="str">
        <x:v>3</x:v>
      </x:c>
      <x:c r="B26" s="53" t="str">
        <x:v>Use the Python to C++ tab for the 26 Python-language questions. Add each exact title / LC ID before tracking its conversion.</x:v>
      </x:c>
      <x:c r="C26" s="53"/>
      <x:c r="D26" s="53"/>
      <x:c r="E26" s="53"/>
      <x:c r="F26" s="53"/>
      <x:c r="G26" s="53"/>
      <x:c r="H26" s="53"/>
    </x:row>
    <x:row r="27" ht="30" customHeight="1">
      <x:c r="A27" s="53" t="str">
        <x:v>4</x:v>
      </x:c>
      <x:c r="B27" s="53" t="str">
        <x:v>Mark a new problem Solved only after you can explain the approach, complexity, edge cases, and write it in C++ without copying.</x:v>
      </x:c>
      <x:c r="C27" s="53"/>
      <x:c r="D27" s="53"/>
      <x:c r="E27" s="53"/>
      <x:c r="F27" s="53"/>
      <x:c r="G27" s="53"/>
      <x:c r="H27" s="53"/>
    </x:row>
    <x:row r="28" ht="30" customHeight="1">
      <x:c r="A28" s="53" t="str">
        <x:v>5</x:v>
      </x:c>
      <x:c r="B28" s="53" t="str">
        <x:v>In Google Sheets, upload this .xlsx via File → Import → Upload. Dropdowns and formulas should transfer; verify chart rendering after import.</x:v>
      </x:c>
      <x:c r="C28" s="53"/>
      <x:c r="D28" s="53"/>
      <x:c r="E28" s="53"/>
      <x:c r="F28" s="53"/>
      <x:c r="G28" s="53"/>
      <x:c r="H28" s="53"/>
    </x:row>
  </x:sheetData>
  <x:mergeCells>
    <x:mergeCell ref="A1:H2"/>
    <x:mergeCell ref="A3:H3"/>
    <x:mergeCell ref="D5:H5"/>
    <x:mergeCell ref="A17:H17"/>
    <x:mergeCell ref="A23:H23"/>
    <x:mergeCell ref="B24:H24"/>
    <x:mergeCell ref="B25:H25"/>
    <x:mergeCell ref="B26:H26"/>
    <x:mergeCell ref="B27:H27"/>
    <x:mergeCell ref="B28:H28"/>
  </x:mergeCells>
  <x:pageMargins left="0.7" right="0.7" top="0.75" bottom="0.75" header="0.3" footer="0.3"/>
  <x:drawing xmlns:r="http://schemas.openxmlformats.org/officeDocument/2006/relationships" r:id="R5a648ff037404f6a"/>
</x:worksheet>
</file>

<file path=xl/worksheets/sheet2.xml><?xml version="1.0" encoding="utf-8"?>
<x:worksheet xmlns:x="http://schemas.openxmlformats.org/spreadsheetml/2006/main">
  <x:sheetViews>
    <x:sheetView workbookViewId="0">
      <x:pane xSplit="3" ySplit="3" topLeftCell="D4" activePane="bottomRight" state="frozen"/>
    </x:sheetView>
  </x:sheetViews>
  <x:sheetFormatPr defaultRowHeight="15"/>
  <x:cols>
    <x:col min="1" max="1" width="10" hidden="0" customWidth="1"/>
    <x:col min="2" max="2" width="9" hidden="0" customWidth="1"/>
    <x:col min="3" max="3" width="39" hidden="0" customWidth="1"/>
    <x:col min="4" max="4" width="11" hidden="0" customWidth="1"/>
    <x:col min="5" max="5" width="29" hidden="0" customWidth="1"/>
    <x:col min="6" max="6" width="17" hidden="0" customWidth="1"/>
    <x:col min="7" max="7" width="27" hidden="0" customWidth="1"/>
    <x:col min="8" max="8" width="16" hidden="0" customWidth="1"/>
    <x:col min="9" max="9" width="42" hidden="0" customWidth="1"/>
    <x:col min="10" max="10" width="48" hidden="0" customWidth="1"/>
    <x:col min="11" max="11" width="26" hidden="0" customWidth="1"/>
    <x:col min="12" max="12" width="28" hidden="0" customWidth="1"/>
    <x:col min="13" max="13" width="11" hidden="0" customWidth="1"/>
    <x:col min="14" max="14" width="15" hidden="0" customWidth="1"/>
    <x:col min="15" max="15" width="15" hidden="0" customWidth="1"/>
    <x:col min="16" max="16" width="15" hidden="0" customWidth="1"/>
    <x:col min="17" max="17" width="42" hidden="0" customWidth="1"/>
    <x:col min="18" max="18" width="30" hidden="0" customWidth="1"/>
    <x:col min="19" max="19" width="11" hidden="0" customWidth="1"/>
  </x:cols>
  <x:sheetData>
    <x:row r="1">
      <x:c r="A1" s="60" t="str">
        <x:v>400-PROBLEM QUESTION TRACKER — NEW SOLVES ONLY COUNT TOWARD THE TARGET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60"/>
      <x:c r="N1" s="60"/>
      <x:c r="O1" s="60"/>
      <x:c r="P1" s="60"/>
      <x:c r="Q1" s="60"/>
      <x:c r="R1" s="60"/>
      <x:c r="S1" s="60"/>
    </x:row>
    <x:row r="2">
      <x:c r="A2" s="66" t="str">
        <x:v>Set Work Type to New (counts toward 400), Python→C++ conversion, C++ revision, or Review only. The New count formula is 1 only for a new-target row marked Solved/Revised.</x:v>
      </x:c>
      <x:c r="B2" s="66"/>
      <x:c r="C2" s="66"/>
      <x:c r="D2" s="66"/>
      <x:c r="E2" s="66"/>
      <x:c r="F2" s="66"/>
      <x:c r="G2" s="66"/>
      <x:c r="H2" s="66"/>
      <x:c r="I2" s="66"/>
      <x:c r="J2" s="66"/>
      <x:c r="K2" s="66"/>
      <x:c r="L2" s="66"/>
      <x:c r="M2" s="66"/>
      <x:c r="N2" s="66"/>
      <x:c r="O2" s="66"/>
      <x:c r="P2" s="66"/>
      <x:c r="Q2" s="66"/>
      <x:c r="R2" s="66"/>
      <x:c r="S2" s="66"/>
    </x:row>
    <x:row r="3" ht="36" customHeight="1">
      <x:c r="A3" s="74" t="str">
        <x:v>Study Order</x:v>
      </x:c>
      <x:c r="B3" s="74" t="str">
        <x:v>LC ID</x:v>
      </x:c>
      <x:c r="C3" s="74" t="str">
        <x:v>Problem</x:v>
      </x:c>
      <x:c r="D3" s="74" t="str">
        <x:v>Difficulty</x:v>
      </x:c>
      <x:c r="E3" s="74" t="str">
        <x:v>Primary Pattern / Topic</x:v>
      </x:c>
      <x:c r="F3" s="74" t="str">
        <x:v>Amazon Prep Priority</x:v>
      </x:c>
      <x:c r="G3" s="74" t="str">
        <x:v>Work Type</x:v>
      </x:c>
      <x:c r="H3" s="74" t="str">
        <x:v>C++ Status</x:v>
      </x:c>
      <x:c r="I3" s="74" t="str">
        <x:v>Brute-Force Baseline</x:v>
      </x:c>
      <x:c r="J3" s="74" t="str">
        <x:v>Optimized Approach (C++)</x:v>
      </x:c>
      <x:c r="K3" s="74" t="str">
        <x:v>Target Time Complexity</x:v>
      </x:c>
      <x:c r="L3" s="74" t="str">
        <x:v>Target Space Complexity</x:v>
      </x:c>
      <x:c r="M3" s="74" t="str">
        <x:v>Attempts</x:v>
      </x:c>
      <x:c r="N3" s="74" t="str">
        <x:v>Last Attempted</x:v>
      </x:c>
      <x:c r="O3" s="74" t="str">
        <x:v>Confidence (1–5)</x:v>
      </x:c>
      <x:c r="P3" s="74" t="str">
        <x:v>Revision Due</x:v>
      </x:c>
      <x:c r="Q3" s="74" t="str">
        <x:v>LeetCode Link</x:v>
      </x:c>
      <x:c r="R3" s="74" t="str">
        <x:v>Notes / Edge Cases</x:v>
      </x:c>
      <x:c r="S3" s="74" t="str">
        <x:v>New Count</x:v>
      </x:c>
    </x:row>
    <x:row r="4" ht="48" customHeight="1">
      <x:c r="A4" s="84" t="n">
        <x:v>1</x:v>
      </x:c>
      <x:c r="B4" s="84" t="n">
        <x:v>1</x:v>
      </x:c>
      <x:c r="C4" s="80" t="str">
        <x:v>Two Sum</x:v>
      </x:c>
      <x:c r="D4" s="84" t="str">
        <x:v>Easy</x:v>
      </x:c>
      <x:c r="E4" s="84" t="str">
        <x:v>Array &amp; Hashing</x:v>
      </x:c>
      <x:c r="F4" s="84" t="str">
        <x:v>P1</x:v>
      </x:c>
      <x:c r="G4" s="84" t="str">
        <x:v>New (counts toward 400)</x:v>
      </x:c>
      <x:c r="H4" s="84" t="str">
        <x:v>Not Started</x:v>
      </x:c>
      <x:c r="I4" s="80" t="str">
        <x:v>Try all pairs and test their sum (O(n²)).</x:v>
      </x:c>
      <x:c r="J4" s="80" t="str">
        <x:v>One-pass unordered_map: look up target-current before inserting the current value.</x:v>
      </x:c>
      <x:c r="K4" s="80" t="str">
        <x:v>O(n) expected</x:v>
      </x:c>
      <x:c r="L4" s="80" t="str">
        <x:v>O(n)</x:v>
      </x:c>
      <x:c r="M4" s="84" t="n">
        <x:v>0</x:v>
      </x:c>
      <x:c r="N4" s="86"/>
      <x:c r="O4" s="84"/>
      <x:c r="P4" s="86"/>
      <x:c r="Q4" s="80" t="str">
        <x:v>https://leetcode.com/problems/two-sum/</x:v>
      </x:c>
      <x:c r="R4" s="80" t="str"/>
      <x:c r="S4" s="84" t="n">
        <x:f>IF(AND(OR(H4="Solved",H4="Revised"),G4="New (counts toward 400)"),1,0)</x:f>
        <x:v>0</x:v>
      </x:c>
    </x:row>
    <x:row r="5" ht="48" customHeight="1">
      <x:c r="A5" s="84" t="n">
        <x:v>2</x:v>
      </x:c>
      <x:c r="B5" s="84" t="n">
        <x:v>217</x:v>
      </x:c>
      <x:c r="C5" s="80" t="str">
        <x:v>Contains Duplicate</x:v>
      </x:c>
      <x:c r="D5" s="84" t="str">
        <x:v>Easy</x:v>
      </x:c>
      <x:c r="E5" s="84" t="str">
        <x:v>Array &amp; Hashing</x:v>
      </x:c>
      <x:c r="F5" s="84" t="str">
        <x:v>P1</x:v>
      </x:c>
      <x:c r="G5" s="84" t="str">
        <x:v>New (counts toward 400)</x:v>
      </x:c>
      <x:c r="H5" s="84" t="str">
        <x:v>Not Started</x:v>
      </x:c>
      <x:c r="I5" s="80" t="str">
        <x:v>Compare every pair or repeatedly search prior values.</x:v>
      </x:c>
      <x:c r="J5" s="80" t="str">
        <x:v>Insert into an unordered_set; a repeated value identifies a duplicate.</x:v>
      </x:c>
      <x:c r="K5" s="80" t="str">
        <x:v>O(n) expected</x:v>
      </x:c>
      <x:c r="L5" s="80" t="str">
        <x:v>O(n)</x:v>
      </x:c>
      <x:c r="M5" s="84" t="n">
        <x:v>0</x:v>
      </x:c>
      <x:c r="N5" s="86"/>
      <x:c r="O5" s="84"/>
      <x:c r="P5" s="86"/>
      <x:c r="Q5" s="80" t="str">
        <x:v>https://leetcode.com/problems/contains-duplicate/</x:v>
      </x:c>
      <x:c r="R5" s="80" t="str"/>
      <x:c r="S5" s="84" t="n">
        <x:f>IF(AND(OR(H5="Solved",H5="Revised"),G5="New (counts toward 400)"),1,0)</x:f>
        <x:v>0</x:v>
      </x:c>
    </x:row>
    <x:row r="6" ht="48" customHeight="1">
      <x:c r="A6" s="84" t="n">
        <x:v>3</x:v>
      </x:c>
      <x:c r="B6" s="84" t="n">
        <x:v>242</x:v>
      </x:c>
      <x:c r="C6" s="80" t="str">
        <x:v>Valid Anagram</x:v>
      </x:c>
      <x:c r="D6" s="84" t="str">
        <x:v>Easy</x:v>
      </x:c>
      <x:c r="E6" s="84" t="str">
        <x:v>String &amp; Hashing</x:v>
      </x:c>
      <x:c r="F6" s="84" t="str">
        <x:v>P1</x:v>
      </x:c>
      <x:c r="G6" s="84" t="str">
        <x:v>New (counts toward 400)</x:v>
      </x:c>
      <x:c r="H6" s="84" t="str">
        <x:v>Not Started</x:v>
      </x:c>
      <x:c r="I6" s="80" t="str">
        <x:v>Sort both strings or compare each character against the other string.</x:v>
      </x:c>
      <x:c r="J6" s="80" t="str">
        <x:v>Count character frequencies and compare counts; sorting both strings is a simpler alternative.</x:v>
      </x:c>
      <x:c r="K6" s="80" t="str">
        <x:v>O(n) for fixed alphabet</x:v>
      </x:c>
      <x:c r="L6" s="80" t="str">
        <x:v>O(1) for fixed alphabet</x:v>
      </x:c>
      <x:c r="M6" s="84" t="n">
        <x:v>0</x:v>
      </x:c>
      <x:c r="N6" s="86"/>
      <x:c r="O6" s="84"/>
      <x:c r="P6" s="86"/>
      <x:c r="Q6" s="80" t="str">
        <x:v>https://leetcode.com/problems/valid-anagram/</x:v>
      </x:c>
      <x:c r="R6" s="80" t="str"/>
      <x:c r="S6" s="84" t="n">
        <x:f>IF(AND(OR(H6="Solved",H6="Revised"),G6="New (counts toward 400)"),1,0)</x:f>
        <x:v>0</x:v>
      </x:c>
    </x:row>
    <x:row r="7" ht="48" customHeight="1">
      <x:c r="A7" s="84" t="n">
        <x:v>4</x:v>
      </x:c>
      <x:c r="B7" s="84" t="n">
        <x:v>49</x:v>
      </x:c>
      <x:c r="C7" s="80" t="str">
        <x:v>Group Anagrams</x:v>
      </x:c>
      <x:c r="D7" s="84" t="str">
        <x:v>Medium</x:v>
      </x:c>
      <x:c r="E7" s="84" t="str">
        <x:v>String &amp; Hashing</x:v>
      </x:c>
      <x:c r="F7" s="84" t="str">
        <x:v>P1</x:v>
      </x:c>
      <x:c r="G7" s="84" t="str">
        <x:v>New (counts toward 400)</x:v>
      </x:c>
      <x:c r="H7" s="84" t="str">
        <x:v>Not Started</x:v>
      </x:c>
      <x:c r="I7" s="80" t="str">
        <x:v>Compare each word with every other word and group matching anagrams.</x:v>
      </x:c>
      <x:c r="J7" s="80" t="str">
        <x:v>Map each word to a canonical signature (26-count vector or sorted letters).</x:v>
      </x:c>
      <x:c r="K7" s="80" t="str">
        <x:v>O(total characters)</x:v>
      </x:c>
      <x:c r="L7" s="80" t="str">
        <x:v>O(total characters)</x:v>
      </x:c>
      <x:c r="M7" s="84" t="n">
        <x:v>0</x:v>
      </x:c>
      <x:c r="N7" s="86"/>
      <x:c r="O7" s="84"/>
      <x:c r="P7" s="86"/>
      <x:c r="Q7" s="80" t="str">
        <x:v>https://leetcode.com/problems/group-anagrams/</x:v>
      </x:c>
      <x:c r="R7" s="80" t="str"/>
      <x:c r="S7" s="84" t="n">
        <x:f>IF(AND(OR(H7="Solved",H7="Revised"),G7="New (counts toward 400)"),1,0)</x:f>
        <x:v>0</x:v>
      </x:c>
    </x:row>
    <x:row r="8" ht="48" customHeight="1">
      <x:c r="A8" s="84" t="n">
        <x:v>5</x:v>
      </x:c>
      <x:c r="B8" s="84" t="n">
        <x:v>128</x:v>
      </x:c>
      <x:c r="C8" s="80" t="str">
        <x:v>Longest Consecutive Sequence</x:v>
      </x:c>
      <x:c r="D8" s="84" t="str">
        <x:v>Medium</x:v>
      </x:c>
      <x:c r="E8" s="84" t="str">
        <x:v>Array &amp; Hashing</x:v>
      </x:c>
      <x:c r="F8" s="84" t="str">
        <x:v>P1</x:v>
      </x:c>
      <x:c r="G8" s="84" t="str">
        <x:v>New (counts toward 400)</x:v>
      </x:c>
      <x:c r="H8" s="84" t="str">
        <x:v>Not Started</x:v>
      </x:c>
      <x:c r="I8" s="80" t="str">
        <x:v>Sort and scan or extend a run from every value.</x:v>
      </x:c>
      <x:c r="J8" s="80" t="str">
        <x:v>Use a set and only start a run at x when x-1 is absent; extend each run once.</x:v>
      </x:c>
      <x:c r="K8" s="80" t="str">
        <x:v>O(n) expected</x:v>
      </x:c>
      <x:c r="L8" s="80" t="str">
        <x:v>O(n)</x:v>
      </x:c>
      <x:c r="M8" s="84" t="n">
        <x:v>0</x:v>
      </x:c>
      <x:c r="N8" s="86"/>
      <x:c r="O8" s="84"/>
      <x:c r="P8" s="86"/>
      <x:c r="Q8" s="80" t="str">
        <x:v>https://leetcode.com/problems/longest-consecutive-sequence/</x:v>
      </x:c>
      <x:c r="R8" s="80" t="str"/>
      <x:c r="S8" s="84" t="n">
        <x:f>IF(AND(OR(H8="Solved",H8="Revised"),G8="New (counts toward 400)"),1,0)</x:f>
        <x:v>0</x:v>
      </x:c>
    </x:row>
    <x:row r="9" ht="48" customHeight="1">
      <x:c r="A9" s="84" t="n">
        <x:v>6</x:v>
      </x:c>
      <x:c r="B9" s="84" t="n">
        <x:v>238</x:v>
      </x:c>
      <x:c r="C9" s="80" t="str">
        <x:v>Product of Array Except Self</x:v>
      </x:c>
      <x:c r="D9" s="84" t="str">
        <x:v>Medium</x:v>
      </x:c>
      <x:c r="E9" s="84" t="str">
        <x:v>Array &amp; Prefix Sum</x:v>
      </x:c>
      <x:c r="F9" s="84" t="str">
        <x:v>P1</x:v>
      </x:c>
      <x:c r="G9" s="84" t="str">
        <x:v>New (counts toward 400)</x:v>
      </x:c>
      <x:c r="H9" s="84" t="str">
        <x:v>Not Started</x:v>
      </x:c>
      <x:c r="I9" s="80" t="str">
        <x:v>For each index, multiply all other values (O(n²)).</x:v>
      </x:c>
      <x:c r="J9" s="80" t="str">
        <x:v>Build prefix products, then multiply by a rolling suffix product; no division.</x:v>
      </x:c>
      <x:c r="K9" s="80" t="str">
        <x:v>O(n)</x:v>
      </x:c>
      <x:c r="L9" s="80" t="str">
        <x:v>O(1) extra excluding output</x:v>
      </x:c>
      <x:c r="M9" s="84" t="n">
        <x:v>0</x:v>
      </x:c>
      <x:c r="N9" s="86"/>
      <x:c r="O9" s="84"/>
      <x:c r="P9" s="86"/>
      <x:c r="Q9" s="80" t="str">
        <x:v>https://leetcode.com/problems/product-of-array-except-self/</x:v>
      </x:c>
      <x:c r="R9" s="80" t="str"/>
      <x:c r="S9" s="84" t="n">
        <x:f>IF(AND(OR(H9="Solved",H9="Revised"),G9="New (counts toward 400)"),1,0)</x:f>
        <x:v>0</x:v>
      </x:c>
    </x:row>
    <x:row r="10" ht="48" customHeight="1">
      <x:c r="A10" s="84" t="n">
        <x:v>7</x:v>
      </x:c>
      <x:c r="B10" s="84" t="n">
        <x:v>347</x:v>
      </x:c>
      <x:c r="C10" s="80" t="str">
        <x:v>Top K Frequent Elements</x:v>
      </x:c>
      <x:c r="D10" s="84" t="str">
        <x:v>Medium</x:v>
      </x:c>
      <x:c r="E10" s="84" t="str">
        <x:v>Heap &amp; Hashing</x:v>
      </x:c>
      <x:c r="F10" s="84" t="str">
        <x:v>P1</x:v>
      </x:c>
      <x:c r="G10" s="84" t="str">
        <x:v>New (counts toward 400)</x:v>
      </x:c>
      <x:c r="H10" s="84" t="str">
        <x:v>Not Started</x:v>
      </x:c>
      <x:c r="I10" s="80" t="str">
        <x:v>Repeatedly sort remaining candidates or rescan prior elements for each answer.</x:v>
      </x:c>
      <x:c r="J10" s="80" t="str">
        <x:v>Use a heap for dynamic min/max or top-k; use a monotonic stack/deque for next-greater/smaller or sliding extrema.</x:v>
      </x:c>
      <x:c r="K10" s="80" t="str">
        <x:v>O(n log k) or O(n)</x:v>
      </x:c>
      <x:c r="L10" s="80" t="str">
        <x:v>O(n) typical</x:v>
      </x:c>
      <x:c r="M10" s="84" t="n">
        <x:v>0</x:v>
      </x:c>
      <x:c r="N10" s="86"/>
      <x:c r="O10" s="84"/>
      <x:c r="P10" s="86"/>
      <x:c r="Q10" s="80" t="str">
        <x:v>https://leetcode.com/problems/top-k-frequent-elements/</x:v>
      </x:c>
      <x:c r="R10" s="80" t="str"/>
      <x:c r="S10" s="84" t="n">
        <x:f>IF(AND(OR(H10="Solved",H10="Revised"),G10="New (counts toward 400)"),1,0)</x:f>
        <x:v>0</x:v>
      </x:c>
    </x:row>
    <x:row r="11" ht="48" customHeight="1">
      <x:c r="A11" s="84" t="n">
        <x:v>8</x:v>
      </x:c>
      <x:c r="B11" s="84" t="n">
        <x:v>560</x:v>
      </x:c>
      <x:c r="C11" s="80" t="str">
        <x:v>Subarray Sum Equals K</x:v>
      </x:c>
      <x:c r="D11" s="84" t="str">
        <x:v>Medium</x:v>
      </x:c>
      <x:c r="E11" s="84" t="str">
        <x:v>Prefix Sum &amp; Hashing</x:v>
      </x:c>
      <x:c r="F11" s="84" t="str">
        <x:v>P1</x:v>
      </x:c>
      <x:c r="G11" s="84" t="str">
        <x:v>New (counts toward 400)</x:v>
      </x:c>
      <x:c r="H11" s="84" t="str">
        <x:v>Not Started</x:v>
      </x:c>
      <x:c r="I11" s="80" t="str">
        <x:v>Enumerate all subarrays and maintain their running sums (O(n²)).</x:v>
      </x:c>
      <x:c r="J11" s="80" t="str">
        <x:v>Count previous prefix sums equal to currentPrefix-k using a frequency map.</x:v>
      </x:c>
      <x:c r="K11" s="80" t="str">
        <x:v>O(n) expected</x:v>
      </x:c>
      <x:c r="L11" s="80" t="str">
        <x:v>O(n)</x:v>
      </x:c>
      <x:c r="M11" s="84" t="n">
        <x:v>0</x:v>
      </x:c>
      <x:c r="N11" s="86"/>
      <x:c r="O11" s="84"/>
      <x:c r="P11" s="86"/>
      <x:c r="Q11" s="80" t="str">
        <x:v>https://leetcode.com/problems/subarray-sum-equals-k/</x:v>
      </x:c>
      <x:c r="R11" s="80" t="str"/>
      <x:c r="S11" s="84" t="n">
        <x:f>IF(AND(OR(H11="Solved",H11="Revised"),G11="New (counts toward 400)"),1,0)</x:f>
        <x:v>0</x:v>
      </x:c>
    </x:row>
    <x:row r="12" ht="48" customHeight="1">
      <x:c r="A12" s="84" t="n">
        <x:v>9</x:v>
      </x:c>
      <x:c r="B12" s="84" t="n">
        <x:v>525</x:v>
      </x:c>
      <x:c r="C12" s="80" t="str">
        <x:v>Contiguous Array</x:v>
      </x:c>
      <x:c r="D12" s="84" t="str">
        <x:v>Medium</x:v>
      </x:c>
      <x:c r="E12" s="84" t="str">
        <x:v>Prefix Sum &amp; Hashing</x:v>
      </x:c>
      <x:c r="F12" s="84" t="str">
        <x:v>P2</x:v>
      </x:c>
      <x:c r="G12" s="84" t="str">
        <x:v>New (counts toward 400)</x:v>
      </x:c>
      <x:c r="H12" s="84" t="str">
        <x:v>Not Started</x:v>
      </x:c>
      <x:c r="I12" s="80" t="str">
        <x:v>Enumerate ranges and recompute their sums/counts.</x:v>
      </x:c>
      <x:c r="J12" s="80" t="str">
        <x:v>Use running prefix/difference values; store prior prefix frequencies for target-range counts.</x:v>
      </x:c>
      <x:c r="K12" s="80" t="str">
        <x:v>O(n) typical</x:v>
      </x:c>
      <x:c r="L12" s="80" t="str">
        <x:v>O(n)</x:v>
      </x:c>
      <x:c r="M12" s="84" t="n">
        <x:v>0</x:v>
      </x:c>
      <x:c r="N12" s="86"/>
      <x:c r="O12" s="84"/>
      <x:c r="P12" s="86"/>
      <x:c r="Q12" s="80" t="str">
        <x:v>https://leetcode.com/problems/contiguous-array/</x:v>
      </x:c>
      <x:c r="R12" s="80" t="str"/>
      <x:c r="S12" s="84" t="n">
        <x:f>IF(AND(OR(H12="Solved",H12="Revised"),G12="New (counts toward 400)"),1,0)</x:f>
        <x:v>0</x:v>
      </x:c>
    </x:row>
    <x:row r="13" ht="48" customHeight="1">
      <x:c r="A13" s="84" t="n">
        <x:v>10</x:v>
      </x:c>
      <x:c r="B13" s="84" t="n">
        <x:v>41</x:v>
      </x:c>
      <x:c r="C13" s="80" t="str">
        <x:v>First Missing Positive</x:v>
      </x:c>
      <x:c r="D13" s="84" t="str">
        <x:v>Hard</x:v>
      </x:c>
      <x:c r="E13" s="84" t="str">
        <x:v>Array &amp; Index Mapping</x:v>
      </x:c>
      <x:c r="F13" s="84" t="str">
        <x:v>P2</x:v>
      </x:c>
      <x:c r="G13" s="84" t="str">
        <x:v>New (counts toward 400)</x:v>
      </x:c>
      <x:c r="H13" s="84" t="str">
        <x:v>Not Started</x:v>
      </x:c>
      <x:c r="I13" s="80" t="str">
        <x:v>Enumerate candidates directly and compare them with the requirements.</x:v>
      </x:c>
      <x:c r="J13" s="80" t="str">
        <x:v>Identify the invariant/state, and avoid recomputing information already established.</x:v>
      </x:c>
      <x:c r="K13" s="80" t="str">
        <x:v>Pattern-dependent</x:v>
      </x:c>
      <x:c r="L13" s="80" t="str">
        <x:v>Pattern-dependent</x:v>
      </x:c>
      <x:c r="M13" s="84" t="n">
        <x:v>0</x:v>
      </x:c>
      <x:c r="N13" s="86"/>
      <x:c r="O13" s="84"/>
      <x:c r="P13" s="86"/>
      <x:c r="Q13" s="80" t="str">
        <x:v>https://leetcode.com/problems/first-missing-positive/</x:v>
      </x:c>
      <x:c r="R13" s="80" t="str"/>
      <x:c r="S13" s="84" t="n">
        <x:f>IF(AND(OR(H13="Solved",H13="Revised"),G13="New (counts toward 400)"),1,0)</x:f>
        <x:v>0</x:v>
      </x:c>
    </x:row>
    <x:row r="14" ht="48" customHeight="1">
      <x:c r="A14" s="84" t="n">
        <x:v>11</x:v>
      </x:c>
      <x:c r="B14" s="84" t="n">
        <x:v>287</x:v>
      </x:c>
      <x:c r="C14" s="80" t="str">
        <x:v>Find the Duplicate Number</x:v>
      </x:c>
      <x:c r="D14" s="84" t="str">
        <x:v>Medium</x:v>
      </x:c>
      <x:c r="E14" s="84" t="str">
        <x:v>Array &amp; Fast/Slow Pointers</x:v>
      </x:c>
      <x:c r="F14" s="84" t="str">
        <x:v>P1</x:v>
      </x:c>
      <x:c r="G14" s="84" t="str">
        <x:v>New (counts toward 400)</x:v>
      </x:c>
      <x:c r="H14" s="84" t="str">
        <x:v>Not Started</x:v>
      </x:c>
      <x:c r="I14" s="80" t="str">
        <x:v>Enumerate candidates directly and compare them with the requirements.</x:v>
      </x:c>
      <x:c r="J14" s="80" t="str">
        <x:v>Identify the invariant/state, and avoid recomputing information already established.</x:v>
      </x:c>
      <x:c r="K14" s="80" t="str">
        <x:v>Pattern-dependent</x:v>
      </x:c>
      <x:c r="L14" s="80" t="str">
        <x:v>Pattern-dependent</x:v>
      </x:c>
      <x:c r="M14" s="84" t="n">
        <x:v>0</x:v>
      </x:c>
      <x:c r="N14" s="86"/>
      <x:c r="O14" s="84"/>
      <x:c r="P14" s="86"/>
      <x:c r="Q14" s="80" t="str">
        <x:v>https://leetcode.com/problems/find-the-duplicate-number/</x:v>
      </x:c>
      <x:c r="R14" s="80" t="str"/>
      <x:c r="S14" s="84" t="n">
        <x:f>IF(AND(OR(H14="Solved",H14="Revised"),G14="New (counts toward 400)"),1,0)</x:f>
        <x:v>0</x:v>
      </x:c>
    </x:row>
    <x:row r="15" ht="48" customHeight="1">
      <x:c r="A15" s="84" t="n">
        <x:v>12</x:v>
      </x:c>
      <x:c r="B15" s="84" t="n">
        <x:v>448</x:v>
      </x:c>
      <x:c r="C15" s="80" t="str">
        <x:v>Find All Numbers Disappeared in an Array</x:v>
      </x:c>
      <x:c r="D15" s="84" t="str">
        <x:v>Easy</x:v>
      </x:c>
      <x:c r="E15" s="84" t="str">
        <x:v>Array &amp; Index Mapping</x:v>
      </x:c>
      <x:c r="F15" s="84" t="str">
        <x:v>P2</x:v>
      </x:c>
      <x:c r="G15" s="84" t="str">
        <x:v>New (counts toward 400)</x:v>
      </x:c>
      <x:c r="H15" s="84" t="str">
        <x:v>Not Started</x:v>
      </x:c>
      <x:c r="I15" s="80" t="str">
        <x:v>Enumerate candidates directly and compare them with the requirements.</x:v>
      </x:c>
      <x:c r="J15" s="80" t="str">
        <x:v>Identify the invariant/state, and avoid recomputing information already established.</x:v>
      </x:c>
      <x:c r="K15" s="80" t="str">
        <x:v>Pattern-dependent</x:v>
      </x:c>
      <x:c r="L15" s="80" t="str">
        <x:v>Pattern-dependent</x:v>
      </x:c>
      <x:c r="M15" s="84" t="n">
        <x:v>0</x:v>
      </x:c>
      <x:c r="N15" s="86"/>
      <x:c r="O15" s="84"/>
      <x:c r="P15" s="86"/>
      <x:c r="Q15" s="80" t="str">
        <x:v>https://leetcode.com/problems/find-all-numbers-disappeared-in-an-array/</x:v>
      </x:c>
      <x:c r="R15" s="80" t="str"/>
      <x:c r="S15" s="84" t="n">
        <x:f>IF(AND(OR(H15="Solved",H15="Revised"),G15="New (counts toward 400)"),1,0)</x:f>
        <x:v>0</x:v>
      </x:c>
    </x:row>
    <x:row r="16" ht="48" customHeight="1">
      <x:c r="A16" s="84" t="n">
        <x:v>13</x:v>
      </x:c>
      <x:c r="B16" s="84" t="n">
        <x:v>136</x:v>
      </x:c>
      <x:c r="C16" s="80" t="str">
        <x:v>Single Number</x:v>
      </x:c>
      <x:c r="D16" s="84" t="str">
        <x:v>Easy</x:v>
      </x:c>
      <x:c r="E16" s="84" t="str">
        <x:v>Bit Manipulation</x:v>
      </x:c>
      <x:c r="F16" s="84" t="str">
        <x:v>P2</x:v>
      </x:c>
      <x:c r="G16" s="84" t="str">
        <x:v>New (counts toward 400)</x:v>
      </x:c>
      <x:c r="H16" s="84" t="str">
        <x:v>Not Started</x:v>
      </x:c>
      <x:c r="I16" s="80" t="str">
        <x:v>Try candidate values or simulate operations directly, checking bits/digits as needed.</x:v>
      </x:c>
      <x:c r="J16" s="80" t="str">
        <x:v>Use arithmetic/bit invariants (XOR, masks, modular arithmetic) or a sieve for many prime queries.</x:v>
      </x:c>
      <x:c r="K16" s="80" t="str">
        <x:v>O(log n) to O(n log log n)</x:v>
      </x:c>
      <x:c r="L16" s="80" t="str">
        <x:v>O(1) to O(n)</x:v>
      </x:c>
      <x:c r="M16" s="84" t="n">
        <x:v>0</x:v>
      </x:c>
      <x:c r="N16" s="86"/>
      <x:c r="O16" s="84"/>
      <x:c r="P16" s="86"/>
      <x:c r="Q16" s="80" t="str">
        <x:v>https://leetcode.com/problems/single-number/</x:v>
      </x:c>
      <x:c r="R16" s="80" t="str"/>
      <x:c r="S16" s="84" t="n">
        <x:f>IF(AND(OR(H16="Solved",H16="Revised"),G16="New (counts toward 400)"),1,0)</x:f>
        <x:v>0</x:v>
      </x:c>
    </x:row>
    <x:row r="17" ht="48" customHeight="1">
      <x:c r="A17" s="84" t="n">
        <x:v>14</x:v>
      </x:c>
      <x:c r="B17" s="84" t="n">
        <x:v>169</x:v>
      </x:c>
      <x:c r="C17" s="80" t="str">
        <x:v>Majority Element</x:v>
      </x:c>
      <x:c r="D17" s="84" t="str">
        <x:v>Easy</x:v>
      </x:c>
      <x:c r="E17" s="84" t="str">
        <x:v>Array &amp; Boyer-Moore</x:v>
      </x:c>
      <x:c r="F17" s="84" t="str">
        <x:v>P1</x:v>
      </x:c>
      <x:c r="G17" s="84" t="str">
        <x:v>New (counts toward 400)</x:v>
      </x:c>
      <x:c r="H17" s="84" t="str">
        <x:v>Not Started</x:v>
      </x:c>
      <x:c r="I17" s="80" t="str">
        <x:v>Enumerate candidates directly and compare them with the requirements.</x:v>
      </x:c>
      <x:c r="J17" s="80" t="str">
        <x:v>Identify the invariant/state, and avoid recomputing information already established.</x:v>
      </x:c>
      <x:c r="K17" s="80" t="str">
        <x:v>Pattern-dependent</x:v>
      </x:c>
      <x:c r="L17" s="80" t="str">
        <x:v>Pattern-dependent</x:v>
      </x:c>
      <x:c r="M17" s="84" t="n">
        <x:v>0</x:v>
      </x:c>
      <x:c r="N17" s="86"/>
      <x:c r="O17" s="84"/>
      <x:c r="P17" s="86"/>
      <x:c r="Q17" s="80" t="str">
        <x:v>https://leetcode.com/problems/majority-element/</x:v>
      </x:c>
      <x:c r="R17" s="80" t="str"/>
      <x:c r="S17" s="84" t="n">
        <x:f>IF(AND(OR(H17="Solved",H17="Revised"),G17="New (counts toward 400)"),1,0)</x:f>
        <x:v>0</x:v>
      </x:c>
    </x:row>
    <x:row r="18" ht="48" customHeight="1">
      <x:c r="A18" s="84" t="n">
        <x:v>15</x:v>
      </x:c>
      <x:c r="B18" s="84" t="n">
        <x:v>229</x:v>
      </x:c>
      <x:c r="C18" s="80" t="str">
        <x:v>Majority Element II</x:v>
      </x:c>
      <x:c r="D18" s="84" t="str">
        <x:v>Medium</x:v>
      </x:c>
      <x:c r="E18" s="84" t="str">
        <x:v>Array &amp; Boyer-Moore</x:v>
      </x:c>
      <x:c r="F18" s="84" t="str">
        <x:v>P2</x:v>
      </x:c>
      <x:c r="G18" s="84" t="str">
        <x:v>New (counts toward 400)</x:v>
      </x:c>
      <x:c r="H18" s="84" t="str">
        <x:v>Not Started</x:v>
      </x:c>
      <x:c r="I18" s="80" t="str">
        <x:v>Enumerate candidates directly and compare them with the requirements.</x:v>
      </x:c>
      <x:c r="J18" s="80" t="str">
        <x:v>Identify the invariant/state, and avoid recomputing information already established.</x:v>
      </x:c>
      <x:c r="K18" s="80" t="str">
        <x:v>Pattern-dependent</x:v>
      </x:c>
      <x:c r="L18" s="80" t="str">
        <x:v>Pattern-dependent</x:v>
      </x:c>
      <x:c r="M18" s="84" t="n">
        <x:v>0</x:v>
      </x:c>
      <x:c r="N18" s="86"/>
      <x:c r="O18" s="84"/>
      <x:c r="P18" s="86"/>
      <x:c r="Q18" s="80" t="str">
        <x:v>https://leetcode.com/problems/majority-element-ii/</x:v>
      </x:c>
      <x:c r="R18" s="80" t="str"/>
      <x:c r="S18" s="84" t="n">
        <x:f>IF(AND(OR(H18="Solved",H18="Revised"),G18="New (counts toward 400)"),1,0)</x:f>
        <x:v>0</x:v>
      </x:c>
    </x:row>
    <x:row r="19" ht="48" customHeight="1">
      <x:c r="A19" s="84" t="n">
        <x:v>16</x:v>
      </x:c>
      <x:c r="B19" s="84" t="n">
        <x:v>15</x:v>
      </x:c>
      <x:c r="C19" s="80" t="str">
        <x:v>3Sum</x:v>
      </x:c>
      <x:c r="D19" s="84" t="str">
        <x:v>Medium</x:v>
      </x:c>
      <x:c r="E19" s="84" t="str">
        <x:v>Two Pointers</x:v>
      </x:c>
      <x:c r="F19" s="84" t="str">
        <x:v>P1</x:v>
      </x:c>
      <x:c r="G19" s="84" t="str">
        <x:v>New (counts toward 400)</x:v>
      </x:c>
      <x:c r="H19" s="84" t="str">
        <x:v>Not Started</x:v>
      </x:c>
      <x:c r="I19" s="80" t="str">
        <x:v>Enumerate triples and check each sum (O(n³)).</x:v>
      </x:c>
      <x:c r="J19" s="80" t="str">
        <x:v>Sort, fix one value, then two-pointer the remaining pair while skipping duplicates.</x:v>
      </x:c>
      <x:c r="K19" s="80" t="str">
        <x:v>O(n²)</x:v>
      </x:c>
      <x:c r="L19" s="80" t="str">
        <x:v>O(1) extra excluding output</x:v>
      </x:c>
      <x:c r="M19" s="84" t="n">
        <x:v>0</x:v>
      </x:c>
      <x:c r="N19" s="86"/>
      <x:c r="O19" s="84"/>
      <x:c r="P19" s="86"/>
      <x:c r="Q19" s="80" t="str">
        <x:v>https://leetcode.com/problems/3sum/</x:v>
      </x:c>
      <x:c r="R19" s="80" t="str"/>
      <x:c r="S19" s="84" t="n">
        <x:f>IF(AND(OR(H19="Solved",H19="Revised"),G19="New (counts toward 400)"),1,0)</x:f>
        <x:v>0</x:v>
      </x:c>
    </x:row>
    <x:row r="20" ht="48" customHeight="1">
      <x:c r="A20" s="84" t="n">
        <x:v>17</x:v>
      </x:c>
      <x:c r="B20" s="84" t="n">
        <x:v>18</x:v>
      </x:c>
      <x:c r="C20" s="80" t="str">
        <x:v>4Sum</x:v>
      </x:c>
      <x:c r="D20" s="84" t="str">
        <x:v>Medium</x:v>
      </x:c>
      <x:c r="E20" s="84" t="str">
        <x:v>Two Pointers</x:v>
      </x:c>
      <x:c r="F20" s="84" t="str">
        <x:v>P2</x:v>
      </x:c>
      <x:c r="G20" s="84" t="str">
        <x:v>New (counts toward 400)</x:v>
      </x:c>
      <x:c r="H20" s="84" t="str">
        <x:v>Not Started</x:v>
      </x:c>
      <x:c r="I20" s="80" t="str">
        <x:v>Enumerate all quadruples (O(n⁴)).</x:v>
      </x:c>
      <x:c r="J20" s="80" t="str">
        <x:v>Sort, fix two values, then two-pointer the remaining pair; skip duplicates and use 64-bit sums.</x:v>
      </x:c>
      <x:c r="K20" s="80" t="str">
        <x:v>O(n³)</x:v>
      </x:c>
      <x:c r="L20" s="80" t="str">
        <x:v>O(1) extra excluding output</x:v>
      </x:c>
      <x:c r="M20" s="84" t="n">
        <x:v>0</x:v>
      </x:c>
      <x:c r="N20" s="86"/>
      <x:c r="O20" s="84"/>
      <x:c r="P20" s="86"/>
      <x:c r="Q20" s="80" t="str">
        <x:v>https://leetcode.com/problems/4sum/</x:v>
      </x:c>
      <x:c r="R20" s="80" t="str"/>
      <x:c r="S20" s="84" t="n">
        <x:f>IF(AND(OR(H20="Solved",H20="Revised"),G20="New (counts toward 400)"),1,0)</x:f>
        <x:v>0</x:v>
      </x:c>
    </x:row>
    <x:row r="21" ht="48" customHeight="1">
      <x:c r="A21" s="84" t="n">
        <x:v>18</x:v>
      </x:c>
      <x:c r="B21" s="84" t="n">
        <x:v>16</x:v>
      </x:c>
      <x:c r="C21" s="80" t="str">
        <x:v>3Sum Closest</x:v>
      </x:c>
      <x:c r="D21" s="84" t="str">
        <x:v>Medium</x:v>
      </x:c>
      <x:c r="E21" s="84" t="str">
        <x:v>Two Pointers</x:v>
      </x:c>
      <x:c r="F21" s="84" t="str">
        <x:v>P2</x:v>
      </x:c>
      <x:c r="G21" s="84" t="str">
        <x:v>New (counts toward 400)</x:v>
      </x:c>
      <x:c r="H21" s="84" t="str">
        <x:v>Not Started</x:v>
      </x:c>
      <x:c r="I21" s="80" t="str">
        <x:v>Enumerate candidate pairs/segments and compare their values.</x:v>
      </x:c>
      <x:c r="J21" s="80" t="str">
        <x:v>Use sorted order or a monotonic invariant to decide which pointer moves; skip duplicates when needed.</x:v>
      </x:c>
      <x:c r="K21" s="80" t="str">
        <x:v>O(n) to O(n log n)</x:v>
      </x:c>
      <x:c r="L21" s="80" t="str">
        <x:v>O(1) extra excluding output</x:v>
      </x:c>
      <x:c r="M21" s="84" t="n">
        <x:v>0</x:v>
      </x:c>
      <x:c r="N21" s="86"/>
      <x:c r="O21" s="84"/>
      <x:c r="P21" s="86"/>
      <x:c r="Q21" s="80" t="str">
        <x:v>https://leetcode.com/problems/3sum-closest/</x:v>
      </x:c>
      <x:c r="R21" s="80" t="str"/>
      <x:c r="S21" s="84" t="n">
        <x:f>IF(AND(OR(H21="Solved",H21="Revised"),G21="New (counts toward 400)"),1,0)</x:f>
        <x:v>0</x:v>
      </x:c>
    </x:row>
    <x:row r="22" ht="48" customHeight="1">
      <x:c r="A22" s="84" t="n">
        <x:v>19</x:v>
      </x:c>
      <x:c r="B22" s="84" t="n">
        <x:v>53</x:v>
      </x:c>
      <x:c r="C22" s="80" t="str">
        <x:v>Maximum Subarray</x:v>
      </x:c>
      <x:c r="D22" s="84" t="str">
        <x:v>Medium</x:v>
      </x:c>
      <x:c r="E22" s="84" t="str">
        <x:v>Kadane / DP</x:v>
      </x:c>
      <x:c r="F22" s="84" t="str">
        <x:v>P1</x:v>
      </x:c>
      <x:c r="G22" s="84" t="str">
        <x:v>New (counts toward 400)</x:v>
      </x:c>
      <x:c r="H22" s="84" t="str">
        <x:v>Not Started</x:v>
      </x:c>
      <x:c r="I22" s="80" t="str">
        <x:v>Try all subarrays and update running sums.</x:v>
      </x:c>
      <x:c r="J22" s="80" t="str">
        <x:v>Kadane: track the best subarray ending here and the global best.</x:v>
      </x:c>
      <x:c r="K22" s="80" t="str">
        <x:v>O(n)</x:v>
      </x:c>
      <x:c r="L22" s="80" t="str">
        <x:v>O(1)</x:v>
      </x:c>
      <x:c r="M22" s="84" t="n">
        <x:v>0</x:v>
      </x:c>
      <x:c r="N22" s="86"/>
      <x:c r="O22" s="84"/>
      <x:c r="P22" s="86"/>
      <x:c r="Q22" s="80" t="str">
        <x:v>https://leetcode.com/problems/maximum-subarray/</x:v>
      </x:c>
      <x:c r="R22" s="80" t="str"/>
      <x:c r="S22" s="84" t="n">
        <x:f>IF(AND(OR(H22="Solved",H22="Revised"),G22="New (counts toward 400)"),1,0)</x:f>
        <x:v>0</x:v>
      </x:c>
    </x:row>
    <x:row r="23" ht="48" customHeight="1">
      <x:c r="A23" s="84" t="n">
        <x:v>20</x:v>
      </x:c>
      <x:c r="B23" s="84" t="n">
        <x:v>152</x:v>
      </x:c>
      <x:c r="C23" s="80" t="str">
        <x:v>Maximum Product Subarray</x:v>
      </x:c>
      <x:c r="D23" s="84" t="str">
        <x:v>Medium</x:v>
      </x:c>
      <x:c r="E23" s="84" t="str">
        <x:v>Array &amp; DP</x:v>
      </x:c>
      <x:c r="F23" s="84" t="str">
        <x:v>P1</x:v>
      </x:c>
      <x:c r="G23" s="84" t="str">
        <x:v>New (counts toward 400)</x:v>
      </x:c>
      <x:c r="H23" s="84" t="str">
        <x:v>Not Started</x:v>
      </x:c>
      <x:c r="I23" s="80" t="str">
        <x:v>Express choices recursively without memoization; repeated subproblems can make this exponential.</x:v>
      </x:c>
      <x:c r="J23" s="80" t="str">
        <x:v>Define state, base cases, and transition; memoize, then tabulate and compress dimensions if dependencies allow.</x:v>
      </x:c>
      <x:c r="K23" s="80" t="str">
        <x:v>O(states × transitions)</x:v>
      </x:c>
      <x:c r="L23" s="80" t="str">
        <x:v>O(number of states)</x:v>
      </x:c>
      <x:c r="M23" s="84" t="n">
        <x:v>0</x:v>
      </x:c>
      <x:c r="N23" s="86"/>
      <x:c r="O23" s="84"/>
      <x:c r="P23" s="86"/>
      <x:c r="Q23" s="80" t="str">
        <x:v>https://leetcode.com/problems/maximum-product-subarray/</x:v>
      </x:c>
      <x:c r="R23" s="80" t="str"/>
      <x:c r="S23" s="84" t="n">
        <x:f>IF(AND(OR(H23="Solved",H23="Revised"),G23="New (counts toward 400)"),1,0)</x:f>
        <x:v>0</x:v>
      </x:c>
    </x:row>
    <x:row r="24" ht="48" customHeight="1">
      <x:c r="A24" s="84" t="n">
        <x:v>21</x:v>
      </x:c>
      <x:c r="B24" s="84" t="n">
        <x:v>88</x:v>
      </x:c>
      <x:c r="C24" s="80" t="str">
        <x:v>Merge Sorted Array</x:v>
      </x:c>
      <x:c r="D24" s="84" t="str">
        <x:v>Easy</x:v>
      </x:c>
      <x:c r="E24" s="84" t="str">
        <x:v>Two Pointers</x:v>
      </x:c>
      <x:c r="F24" s="84" t="str">
        <x:v>P1</x:v>
      </x:c>
      <x:c r="G24" s="84" t="str">
        <x:v>New (counts toward 400)</x:v>
      </x:c>
      <x:c r="H24" s="84" t="str">
        <x:v>Not Started</x:v>
      </x:c>
      <x:c r="I24" s="80" t="str">
        <x:v>Enumerate candidate pairs/segments and compare their values.</x:v>
      </x:c>
      <x:c r="J24" s="80" t="str">
        <x:v>Use sorted order or a monotonic invariant to decide which pointer moves; skip duplicates when needed.</x:v>
      </x:c>
      <x:c r="K24" s="80" t="str">
        <x:v>O(n) to O(n log n)</x:v>
      </x:c>
      <x:c r="L24" s="80" t="str">
        <x:v>O(1) extra excluding output</x:v>
      </x:c>
      <x:c r="M24" s="84" t="n">
        <x:v>0</x:v>
      </x:c>
      <x:c r="N24" s="86"/>
      <x:c r="O24" s="84"/>
      <x:c r="P24" s="86"/>
      <x:c r="Q24" s="80" t="str">
        <x:v>https://leetcode.com/problems/merge-sorted-array/</x:v>
      </x:c>
      <x:c r="R24" s="80" t="str"/>
      <x:c r="S24" s="84" t="n">
        <x:f>IF(AND(OR(H24="Solved",H24="Revised"),G24="New (counts toward 400)"),1,0)</x:f>
        <x:v>0</x:v>
      </x:c>
    </x:row>
    <x:row r="25" ht="48" customHeight="1">
      <x:c r="A25" s="84" t="n">
        <x:v>22</x:v>
      </x:c>
      <x:c r="B25" s="84" t="n">
        <x:v>283</x:v>
      </x:c>
      <x:c r="C25" s="80" t="str">
        <x:v>Move Zeroes</x:v>
      </x:c>
      <x:c r="D25" s="84" t="str">
        <x:v>Easy</x:v>
      </x:c>
      <x:c r="E25" s="84" t="str">
        <x:v>Two Pointers</x:v>
      </x:c>
      <x:c r="F25" s="84" t="str">
        <x:v>P1</x:v>
      </x:c>
      <x:c r="G25" s="84" t="str">
        <x:v>New (counts toward 400)</x:v>
      </x:c>
      <x:c r="H25" s="84" t="str">
        <x:v>Not Started</x:v>
      </x:c>
      <x:c r="I25" s="80" t="str">
        <x:v>Enumerate candidate pairs/segments and compare their values.</x:v>
      </x:c>
      <x:c r="J25" s="80" t="str">
        <x:v>Use sorted order or a monotonic invariant to decide which pointer moves; skip duplicates when needed.</x:v>
      </x:c>
      <x:c r="K25" s="80" t="str">
        <x:v>O(n) to O(n log n)</x:v>
      </x:c>
      <x:c r="L25" s="80" t="str">
        <x:v>O(1) extra excluding output</x:v>
      </x:c>
      <x:c r="M25" s="84" t="n">
        <x:v>0</x:v>
      </x:c>
      <x:c r="N25" s="86"/>
      <x:c r="O25" s="84"/>
      <x:c r="P25" s="86"/>
      <x:c r="Q25" s="80" t="str">
        <x:v>https://leetcode.com/problems/move-zeroes/</x:v>
      </x:c>
      <x:c r="R25" s="80" t="str"/>
      <x:c r="S25" s="84" t="n">
        <x:f>IF(AND(OR(H25="Solved",H25="Revised"),G25="New (counts toward 400)"),1,0)</x:f>
        <x:v>0</x:v>
      </x:c>
    </x:row>
    <x:row r="26" ht="48" customHeight="1">
      <x:c r="A26" s="84" t="n">
        <x:v>23</x:v>
      </x:c>
      <x:c r="B26" s="84" t="n">
        <x:v>26</x:v>
      </x:c>
      <x:c r="C26" s="80" t="str">
        <x:v>Remove Duplicates from Sorted Array</x:v>
      </x:c>
      <x:c r="D26" s="84" t="str">
        <x:v>Easy</x:v>
      </x:c>
      <x:c r="E26" s="84" t="str">
        <x:v>Two Pointers</x:v>
      </x:c>
      <x:c r="F26" s="84" t="str">
        <x:v>P1</x:v>
      </x:c>
      <x:c r="G26" s="84" t="str">
        <x:v>New (counts toward 400)</x:v>
      </x:c>
      <x:c r="H26" s="84" t="str">
        <x:v>Not Started</x:v>
      </x:c>
      <x:c r="I26" s="80" t="str">
        <x:v>Enumerate candidate pairs/segments and compare their values.</x:v>
      </x:c>
      <x:c r="J26" s="80" t="str">
        <x:v>Use sorted order or a monotonic invariant to decide which pointer moves; skip duplicates when needed.</x:v>
      </x:c>
      <x:c r="K26" s="80" t="str">
        <x:v>O(n) to O(n log n)</x:v>
      </x:c>
      <x:c r="L26" s="80" t="str">
        <x:v>O(1) extra excluding output</x:v>
      </x:c>
      <x:c r="M26" s="84" t="n">
        <x:v>0</x:v>
      </x:c>
      <x:c r="N26" s="86"/>
      <x:c r="O26" s="84"/>
      <x:c r="P26" s="86"/>
      <x:c r="Q26" s="80" t="str">
        <x:v>https://leetcode.com/problems/remove-duplicates-from-sorted-array/</x:v>
      </x:c>
      <x:c r="R26" s="80" t="str"/>
      <x:c r="S26" s="84" t="n">
        <x:f>IF(AND(OR(H26="Solved",H26="Revised"),G26="New (counts toward 400)"),1,0)</x:f>
        <x:v>0</x:v>
      </x:c>
    </x:row>
    <x:row r="27" ht="48" customHeight="1">
      <x:c r="A27" s="84" t="n">
        <x:v>24</x:v>
      </x:c>
      <x:c r="B27" s="84" t="n">
        <x:v>27</x:v>
      </x:c>
      <x:c r="C27" s="80" t="str">
        <x:v>Remove Element</x:v>
      </x:c>
      <x:c r="D27" s="84" t="str">
        <x:v>Easy</x:v>
      </x:c>
      <x:c r="E27" s="84" t="str">
        <x:v>Two Pointers</x:v>
      </x:c>
      <x:c r="F27" s="84" t="str">
        <x:v>P2</x:v>
      </x:c>
      <x:c r="G27" s="84" t="str">
        <x:v>New (counts toward 400)</x:v>
      </x:c>
      <x:c r="H27" s="84" t="str">
        <x:v>Not Started</x:v>
      </x:c>
      <x:c r="I27" s="80" t="str">
        <x:v>Enumerate candidate pairs/segments and compare their values.</x:v>
      </x:c>
      <x:c r="J27" s="80" t="str">
        <x:v>Use sorted order or a monotonic invariant to decide which pointer moves; skip duplicates when needed.</x:v>
      </x:c>
      <x:c r="K27" s="80" t="str">
        <x:v>O(n) to O(n log n)</x:v>
      </x:c>
      <x:c r="L27" s="80" t="str">
        <x:v>O(1) extra excluding output</x:v>
      </x:c>
      <x:c r="M27" s="84" t="n">
        <x:v>0</x:v>
      </x:c>
      <x:c r="N27" s="86"/>
      <x:c r="O27" s="84"/>
      <x:c r="P27" s="86"/>
      <x:c r="Q27" s="80" t="str">
        <x:v>https://leetcode.com/problems/remove-element/</x:v>
      </x:c>
      <x:c r="R27" s="80" t="str"/>
      <x:c r="S27" s="84" t="n">
        <x:f>IF(AND(OR(H27="Solved",H27="Revised"),G27="New (counts toward 400)"),1,0)</x:f>
        <x:v>0</x:v>
      </x:c>
    </x:row>
    <x:row r="28" ht="48" customHeight="1">
      <x:c r="A28" s="84" t="n">
        <x:v>25</x:v>
      </x:c>
      <x:c r="B28" s="84" t="n">
        <x:v>189</x:v>
      </x:c>
      <x:c r="C28" s="80" t="str">
        <x:v>Rotate Array</x:v>
      </x:c>
      <x:c r="D28" s="84" t="str">
        <x:v>Medium</x:v>
      </x:c>
      <x:c r="E28" s="84" t="str">
        <x:v>Array &amp; In-place</x:v>
      </x:c>
      <x:c r="F28" s="84" t="str">
        <x:v>P2</x:v>
      </x:c>
      <x:c r="G28" s="84" t="str">
        <x:v>New (counts toward 400)</x:v>
      </x:c>
      <x:c r="H28" s="84" t="str">
        <x:v>Not Started</x:v>
      </x:c>
      <x:c r="I28" s="80" t="str">
        <x:v>Enumerate candidates directly and compare them with the requirements.</x:v>
      </x:c>
      <x:c r="J28" s="80" t="str">
        <x:v>Identify the invariant/state, and avoid recomputing information already established.</x:v>
      </x:c>
      <x:c r="K28" s="80" t="str">
        <x:v>Pattern-dependent</x:v>
      </x:c>
      <x:c r="L28" s="80" t="str">
        <x:v>Pattern-dependent</x:v>
      </x:c>
      <x:c r="M28" s="84" t="n">
        <x:v>0</x:v>
      </x:c>
      <x:c r="N28" s="86"/>
      <x:c r="O28" s="84"/>
      <x:c r="P28" s="86"/>
      <x:c r="Q28" s="80" t="str">
        <x:v>https://leetcode.com/problems/rotate-array/</x:v>
      </x:c>
      <x:c r="R28" s="80" t="str"/>
      <x:c r="S28" s="84" t="n">
        <x:f>IF(AND(OR(H28="Solved",H28="Revised"),G28="New (counts toward 400)"),1,0)</x:f>
        <x:v>0</x:v>
      </x:c>
    </x:row>
    <x:row r="29" ht="48" customHeight="1">
      <x:c r="A29" s="84" t="n">
        <x:v>26</x:v>
      </x:c>
      <x:c r="B29" s="84" t="n">
        <x:v>75</x:v>
      </x:c>
      <x:c r="C29" s="80" t="str">
        <x:v>Sort Colors</x:v>
      </x:c>
      <x:c r="D29" s="84" t="str">
        <x:v>Medium</x:v>
      </x:c>
      <x:c r="E29" s="84" t="str">
        <x:v>Two Pointers / Dutch Flag</x:v>
      </x:c>
      <x:c r="F29" s="84" t="str">
        <x:v>P1</x:v>
      </x:c>
      <x:c r="G29" s="84" t="str">
        <x:v>New (counts toward 400)</x:v>
      </x:c>
      <x:c r="H29" s="84" t="str">
        <x:v>Not Started</x:v>
      </x:c>
      <x:c r="I29" s="80" t="str">
        <x:v>Enumerate candidate pairs/segments and compare their values.</x:v>
      </x:c>
      <x:c r="J29" s="80" t="str">
        <x:v>Use sorted order or a monotonic invariant to decide which pointer moves; skip duplicates when needed.</x:v>
      </x:c>
      <x:c r="K29" s="80" t="str">
        <x:v>O(n) to O(n log n)</x:v>
      </x:c>
      <x:c r="L29" s="80" t="str">
        <x:v>O(1) extra excluding output</x:v>
      </x:c>
      <x:c r="M29" s="84" t="n">
        <x:v>0</x:v>
      </x:c>
      <x:c r="N29" s="86"/>
      <x:c r="O29" s="84"/>
      <x:c r="P29" s="86"/>
      <x:c r="Q29" s="80" t="str">
        <x:v>https://leetcode.com/problems/sort-colors/</x:v>
      </x:c>
      <x:c r="R29" s="80" t="str"/>
      <x:c r="S29" s="84" t="n">
        <x:f>IF(AND(OR(H29="Solved",H29="Revised"),G29="New (counts toward 400)"),1,0)</x:f>
        <x:v>0</x:v>
      </x:c>
    </x:row>
    <x:row r="30" ht="48" customHeight="1">
      <x:c r="A30" s="84" t="n">
        <x:v>27</x:v>
      </x:c>
      <x:c r="B30" s="84" t="n">
        <x:v>11</x:v>
      </x:c>
      <x:c r="C30" s="80" t="str">
        <x:v>Container With Most Water</x:v>
      </x:c>
      <x:c r="D30" s="84" t="str">
        <x:v>Medium</x:v>
      </x:c>
      <x:c r="E30" s="84" t="str">
        <x:v>Two Pointers</x:v>
      </x:c>
      <x:c r="F30" s="84" t="str">
        <x:v>P1</x:v>
      </x:c>
      <x:c r="G30" s="84" t="str">
        <x:v>New (counts toward 400)</x:v>
      </x:c>
      <x:c r="H30" s="84" t="str">
        <x:v>Not Started</x:v>
      </x:c>
      <x:c r="I30" s="80" t="str">
        <x:v>Evaluate every pair of lines (O(n²)).</x:v>
      </x:c>
      <x:c r="J30" s="80" t="str">
        <x:v>Two pointers at the ends; move the shorter side because it limits the area.</x:v>
      </x:c>
      <x:c r="K30" s="80" t="str">
        <x:v>O(n)</x:v>
      </x:c>
      <x:c r="L30" s="80" t="str">
        <x:v>O(1)</x:v>
      </x:c>
      <x:c r="M30" s="84" t="n">
        <x:v>0</x:v>
      </x:c>
      <x:c r="N30" s="86"/>
      <x:c r="O30" s="84"/>
      <x:c r="P30" s="86"/>
      <x:c r="Q30" s="80" t="str">
        <x:v>https://leetcode.com/problems/container-with-most-water/</x:v>
      </x:c>
      <x:c r="R30" s="80" t="str"/>
      <x:c r="S30" s="84" t="n">
        <x:f>IF(AND(OR(H30="Solved",H30="Revised"),G30="New (counts toward 400)"),1,0)</x:f>
        <x:v>0</x:v>
      </x:c>
    </x:row>
    <x:row r="31" ht="48" customHeight="1">
      <x:c r="A31" s="84" t="n">
        <x:v>28</x:v>
      </x:c>
      <x:c r="B31" s="84" t="n">
        <x:v>121</x:v>
      </x:c>
      <x:c r="C31" s="80" t="str">
        <x:v>Best Time to Buy and Sell Stock</x:v>
      </x:c>
      <x:c r="D31" s="84" t="str">
        <x:v>Easy</x:v>
      </x:c>
      <x:c r="E31" s="84" t="str">
        <x:v>Array &amp; Greedy</x:v>
      </x:c>
      <x:c r="F31" s="84" t="str">
        <x:v>P1</x:v>
      </x:c>
      <x:c r="G31" s="84" t="str">
        <x:v>New (counts toward 400)</x:v>
      </x:c>
      <x:c r="H31" s="84" t="str">
        <x:v>Not Started</x:v>
      </x:c>
      <x:c r="I31" s="80" t="str">
        <x:v>Try every buy day against every later sell day.</x:v>
      </x:c>
      <x:c r="J31" s="80" t="str">
        <x:v>Track the minimum price so far and update the best profit each day.</x:v>
      </x:c>
      <x:c r="K31" s="80" t="str">
        <x:v>O(n)</x:v>
      </x:c>
      <x:c r="L31" s="80" t="str">
        <x:v>O(1)</x:v>
      </x:c>
      <x:c r="M31" s="84" t="n">
        <x:v>0</x:v>
      </x:c>
      <x:c r="N31" s="86"/>
      <x:c r="O31" s="84"/>
      <x:c r="P31" s="86"/>
      <x:c r="Q31" s="80" t="str">
        <x:v>https://leetcode.com/problems/best-time-to-buy-and-sell-stock/</x:v>
      </x:c>
      <x:c r="R31" s="80" t="str"/>
      <x:c r="S31" s="84" t="n">
        <x:f>IF(AND(OR(H31="Solved",H31="Revised"),G31="New (counts toward 400)"),1,0)</x:f>
        <x:v>0</x:v>
      </x:c>
    </x:row>
    <x:row r="32" ht="48" customHeight="1">
      <x:c r="A32" s="84" t="n">
        <x:v>29</x:v>
      </x:c>
      <x:c r="B32" s="84" t="n">
        <x:v>122</x:v>
      </x:c>
      <x:c r="C32" s="80" t="str">
        <x:v>Best Time to Buy and Sell Stock II</x:v>
      </x:c>
      <x:c r="D32" s="84" t="str">
        <x:v>Medium</x:v>
      </x:c>
      <x:c r="E32" s="84" t="str">
        <x:v>Greedy / DP</x:v>
      </x:c>
      <x:c r="F32" s="84" t="str">
        <x:v>P2</x:v>
      </x:c>
      <x:c r="G32" s="84" t="str">
        <x:v>New (counts toward 400)</x:v>
      </x:c>
      <x:c r="H32" s="84" t="str">
        <x:v>Not Started</x:v>
      </x:c>
      <x:c r="I32" s="80" t="str">
        <x:v>Express choices recursively without memoization; repeated subproblems can make this exponential.</x:v>
      </x:c>
      <x:c r="J32" s="80" t="str">
        <x:v>Define state, base cases, and transition; memoize, then tabulate and compress dimensions if dependencies allow.</x:v>
      </x:c>
      <x:c r="K32" s="80" t="str">
        <x:v>O(states × transitions)</x:v>
      </x:c>
      <x:c r="L32" s="80" t="str">
        <x:v>O(number of states)</x:v>
      </x:c>
      <x:c r="M32" s="84" t="n">
        <x:v>0</x:v>
      </x:c>
      <x:c r="N32" s="86"/>
      <x:c r="O32" s="84"/>
      <x:c r="P32" s="86"/>
      <x:c r="Q32" s="80" t="str">
        <x:v>https://leetcode.com/problems/best-time-to-buy-and-sell-stock-ii/</x:v>
      </x:c>
      <x:c r="R32" s="80" t="str"/>
      <x:c r="S32" s="84" t="n">
        <x:f>IF(AND(OR(H32="Solved",H32="Revised"),G32="New (counts toward 400)"),1,0)</x:f>
        <x:v>0</x:v>
      </x:c>
    </x:row>
    <x:row r="33" ht="48" customHeight="1">
      <x:c r="A33" s="84" t="n">
        <x:v>30</x:v>
      </x:c>
      <x:c r="B33" s="84" t="n">
        <x:v>55</x:v>
      </x:c>
      <x:c r="C33" s="80" t="str">
        <x:v>Jump Game</x:v>
      </x:c>
      <x:c r="D33" s="84" t="str">
        <x:v>Medium</x:v>
      </x:c>
      <x:c r="E33" s="84" t="str">
        <x:v>Greedy</x:v>
      </x:c>
      <x:c r="F33" s="84" t="str">
        <x:v>P1</x:v>
      </x:c>
      <x:c r="G33" s="84" t="str">
        <x:v>New (counts toward 400)</x:v>
      </x:c>
      <x:c r="H33" s="84" t="str">
        <x:v>Not Started</x:v>
      </x:c>
      <x:c r="I33" s="80" t="str">
        <x:v>Try multiple selection/order choices or compare each interval with every other interval.</x:v>
      </x:c>
      <x:c r="J33" s="80" t="str">
        <x:v>Sort by the key that exposes feasibility (often start/end), then prove the greedy choice with an invariant.</x:v>
      </x:c>
      <x:c r="K33" s="80" t="str">
        <x:v>O(n log n)</x:v>
      </x:c>
      <x:c r="L33" s="80" t="str">
        <x:v>O(n) output or O(1) extra</x:v>
      </x:c>
      <x:c r="M33" s="84" t="n">
        <x:v>0</x:v>
      </x:c>
      <x:c r="N33" s="86"/>
      <x:c r="O33" s="84"/>
      <x:c r="P33" s="86"/>
      <x:c r="Q33" s="80" t="str">
        <x:v>https://leetcode.com/problems/jump-game/</x:v>
      </x:c>
      <x:c r="R33" s="80" t="str"/>
      <x:c r="S33" s="84" t="n">
        <x:f>IF(AND(OR(H33="Solved",H33="Revised"),G33="New (counts toward 400)"),1,0)</x:f>
        <x:v>0</x:v>
      </x:c>
    </x:row>
    <x:row r="34" ht="48" customHeight="1">
      <x:c r="A34" s="84" t="n">
        <x:v>31</x:v>
      </x:c>
      <x:c r="B34" s="84" t="n">
        <x:v>45</x:v>
      </x:c>
      <x:c r="C34" s="80" t="str">
        <x:v>Jump Game II</x:v>
      </x:c>
      <x:c r="D34" s="84" t="str">
        <x:v>Medium</x:v>
      </x:c>
      <x:c r="E34" s="84" t="str">
        <x:v>Greedy</x:v>
      </x:c>
      <x:c r="F34" s="84" t="str">
        <x:v>P1</x:v>
      </x:c>
      <x:c r="G34" s="84" t="str">
        <x:v>New (counts toward 400)</x:v>
      </x:c>
      <x:c r="H34" s="84" t="str">
        <x:v>Not Started</x:v>
      </x:c>
      <x:c r="I34" s="80" t="str">
        <x:v>Try multiple selection/order choices or compare each interval with every other interval.</x:v>
      </x:c>
      <x:c r="J34" s="80" t="str">
        <x:v>Sort by the key that exposes feasibility (often start/end), then prove the greedy choice with an invariant.</x:v>
      </x:c>
      <x:c r="K34" s="80" t="str">
        <x:v>O(n log n)</x:v>
      </x:c>
      <x:c r="L34" s="80" t="str">
        <x:v>O(n) output or O(1) extra</x:v>
      </x:c>
      <x:c r="M34" s="84" t="n">
        <x:v>0</x:v>
      </x:c>
      <x:c r="N34" s="86"/>
      <x:c r="O34" s="84"/>
      <x:c r="P34" s="86"/>
      <x:c r="Q34" s="80" t="str">
        <x:v>https://leetcode.com/problems/jump-game-ii/</x:v>
      </x:c>
      <x:c r="R34" s="80" t="str"/>
      <x:c r="S34" s="84" t="n">
        <x:f>IF(AND(OR(H34="Solved",H34="Revised"),G34="New (counts toward 400)"),1,0)</x:f>
        <x:v>0</x:v>
      </x:c>
    </x:row>
    <x:row r="35" ht="48" customHeight="1">
      <x:c r="A35" s="84" t="n">
        <x:v>32</x:v>
      </x:c>
      <x:c r="B35" s="84" t="n">
        <x:v>134</x:v>
      </x:c>
      <x:c r="C35" s="80" t="str">
        <x:v>Gas Station</x:v>
      </x:c>
      <x:c r="D35" s="84" t="str">
        <x:v>Medium</x:v>
      </x:c>
      <x:c r="E35" s="84" t="str">
        <x:v>Greedy</x:v>
      </x:c>
      <x:c r="F35" s="84" t="str">
        <x:v>P1</x:v>
      </x:c>
      <x:c r="G35" s="84" t="str">
        <x:v>New (counts toward 400)</x:v>
      </x:c>
      <x:c r="H35" s="84" t="str">
        <x:v>Not Started</x:v>
      </x:c>
      <x:c r="I35" s="80" t="str">
        <x:v>Try multiple selection/order choices or compare each interval with every other interval.</x:v>
      </x:c>
      <x:c r="J35" s="80" t="str">
        <x:v>Sort by the key that exposes feasibility (often start/end), then prove the greedy choice with an invariant.</x:v>
      </x:c>
      <x:c r="K35" s="80" t="str">
        <x:v>O(n log n)</x:v>
      </x:c>
      <x:c r="L35" s="80" t="str">
        <x:v>O(n) output or O(1) extra</x:v>
      </x:c>
      <x:c r="M35" s="84" t="n">
        <x:v>0</x:v>
      </x:c>
      <x:c r="N35" s="86"/>
      <x:c r="O35" s="84"/>
      <x:c r="P35" s="86"/>
      <x:c r="Q35" s="80" t="str">
        <x:v>https://leetcode.com/problems/gas-station/</x:v>
      </x:c>
      <x:c r="R35" s="80" t="str"/>
      <x:c r="S35" s="84" t="n">
        <x:f>IF(AND(OR(H35="Solved",H35="Revised"),G35="New (counts toward 400)"),1,0)</x:f>
        <x:v>0</x:v>
      </x:c>
    </x:row>
    <x:row r="36" ht="48" customHeight="1">
      <x:c r="A36" s="84" t="n">
        <x:v>33</x:v>
      </x:c>
      <x:c r="B36" s="84" t="n">
        <x:v>135</x:v>
      </x:c>
      <x:c r="C36" s="80" t="str">
        <x:v>Candy</x:v>
      </x:c>
      <x:c r="D36" s="84" t="str">
        <x:v>Hard</x:v>
      </x:c>
      <x:c r="E36" s="84" t="str">
        <x:v>Greedy</x:v>
      </x:c>
      <x:c r="F36" s="84" t="str">
        <x:v>P2</x:v>
      </x:c>
      <x:c r="G36" s="84" t="str">
        <x:v>New (counts toward 400)</x:v>
      </x:c>
      <x:c r="H36" s="84" t="str">
        <x:v>Not Started</x:v>
      </x:c>
      <x:c r="I36" s="80" t="str">
        <x:v>Try multiple selection/order choices or compare each interval with every other interval.</x:v>
      </x:c>
      <x:c r="J36" s="80" t="str">
        <x:v>Sort by the key that exposes feasibility (often start/end), then prove the greedy choice with an invariant.</x:v>
      </x:c>
      <x:c r="K36" s="80" t="str">
        <x:v>O(n log n)</x:v>
      </x:c>
      <x:c r="L36" s="80" t="str">
        <x:v>O(n) output or O(1) extra</x:v>
      </x:c>
      <x:c r="M36" s="84" t="n">
        <x:v>0</x:v>
      </x:c>
      <x:c r="N36" s="86"/>
      <x:c r="O36" s="84"/>
      <x:c r="P36" s="86"/>
      <x:c r="Q36" s="80" t="str">
        <x:v>https://leetcode.com/problems/candy/</x:v>
      </x:c>
      <x:c r="R36" s="80" t="str"/>
      <x:c r="S36" s="84" t="n">
        <x:f>IF(AND(OR(H36="Solved",H36="Revised"),G36="New (counts toward 400)"),1,0)</x:f>
        <x:v>0</x:v>
      </x:c>
    </x:row>
    <x:row r="37" ht="48" customHeight="1">
      <x:c r="A37" s="84" t="n">
        <x:v>34</x:v>
      </x:c>
      <x:c r="B37" s="84" t="n">
        <x:v>334</x:v>
      </x:c>
      <x:c r="C37" s="80" t="str">
        <x:v>Increasing Triplet Subsequence</x:v>
      </x:c>
      <x:c r="D37" s="84" t="str">
        <x:v>Medium</x:v>
      </x:c>
      <x:c r="E37" s="84" t="str">
        <x:v>Greedy / Array</x:v>
      </x:c>
      <x:c r="F37" s="84" t="str">
        <x:v>P2</x:v>
      </x:c>
      <x:c r="G37" s="84" t="str">
        <x:v>New (counts toward 400)</x:v>
      </x:c>
      <x:c r="H37" s="84" t="str">
        <x:v>Not Started</x:v>
      </x:c>
      <x:c r="I37" s="80" t="str">
        <x:v>Try multiple selection/order choices or compare each interval with every other interval.</x:v>
      </x:c>
      <x:c r="J37" s="80" t="str">
        <x:v>Sort by the key that exposes feasibility (often start/end), then prove the greedy choice with an invariant.</x:v>
      </x:c>
      <x:c r="K37" s="80" t="str">
        <x:v>O(n log n)</x:v>
      </x:c>
      <x:c r="L37" s="80" t="str">
        <x:v>O(n) output or O(1) extra</x:v>
      </x:c>
      <x:c r="M37" s="84" t="n">
        <x:v>0</x:v>
      </x:c>
      <x:c r="N37" s="86"/>
      <x:c r="O37" s="84"/>
      <x:c r="P37" s="86"/>
      <x:c r="Q37" s="80" t="str">
        <x:v>https://leetcode.com/problems/increasing-triplet-subsequence/</x:v>
      </x:c>
      <x:c r="R37" s="80" t="str"/>
      <x:c r="S37" s="84" t="n">
        <x:f>IF(AND(OR(H37="Solved",H37="Revised"),G37="New (counts toward 400)"),1,0)</x:f>
        <x:v>0</x:v>
      </x:c>
    </x:row>
    <x:row r="38" ht="48" customHeight="1">
      <x:c r="A38" s="84" t="n">
        <x:v>35</x:v>
      </x:c>
      <x:c r="B38" s="84" t="n">
        <x:v>918</x:v>
      </x:c>
      <x:c r="C38" s="80" t="str">
        <x:v>Maximum Sum Circular Subarray</x:v>
      </x:c>
      <x:c r="D38" s="84" t="str">
        <x:v>Medium</x:v>
      </x:c>
      <x:c r="E38" s="84" t="str">
        <x:v>Kadane / DP</x:v>
      </x:c>
      <x:c r="F38" s="84" t="str">
        <x:v>P2</x:v>
      </x:c>
      <x:c r="G38" s="84" t="str">
        <x:v>New (counts toward 400)</x:v>
      </x:c>
      <x:c r="H38" s="84" t="str">
        <x:v>Not Started</x:v>
      </x:c>
      <x:c r="I38" s="80" t="str">
        <x:v>Express choices recursively without memoization; repeated subproblems can make this exponential.</x:v>
      </x:c>
      <x:c r="J38" s="80" t="str">
        <x:v>Define state, base cases, and transition; memoize, then tabulate and compress dimensions if dependencies allow.</x:v>
      </x:c>
      <x:c r="K38" s="80" t="str">
        <x:v>O(states × transitions)</x:v>
      </x:c>
      <x:c r="L38" s="80" t="str">
        <x:v>O(number of states)</x:v>
      </x:c>
      <x:c r="M38" s="84" t="n">
        <x:v>0</x:v>
      </x:c>
      <x:c r="N38" s="86"/>
      <x:c r="O38" s="84"/>
      <x:c r="P38" s="86"/>
      <x:c r="Q38" s="80" t="str">
        <x:v>https://leetcode.com/problems/maximum-sum-circular-subarray/</x:v>
      </x:c>
      <x:c r="R38" s="80" t="str"/>
      <x:c r="S38" s="84" t="n">
        <x:f>IF(AND(OR(H38="Solved",H38="Revised"),G38="New (counts toward 400)"),1,0)</x:f>
        <x:v>0</x:v>
      </x:c>
    </x:row>
    <x:row r="39" ht="48" customHeight="1">
      <x:c r="A39" s="84" t="n">
        <x:v>36</x:v>
      </x:c>
      <x:c r="B39" s="84" t="n">
        <x:v>1423</x:v>
      </x:c>
      <x:c r="C39" s="80" t="str">
        <x:v>Maximum Points You Can Obtain from Cards</x:v>
      </x:c>
      <x:c r="D39" s="84" t="str">
        <x:v>Medium</x:v>
      </x:c>
      <x:c r="E39" s="84" t="str">
        <x:v>Sliding Window</x:v>
      </x:c>
      <x:c r="F39" s="84" t="str">
        <x:v>P1</x:v>
      </x:c>
      <x:c r="G39" s="84" t="str">
        <x:v>New (counts toward 400)</x:v>
      </x:c>
      <x:c r="H39" s="84" t="str">
        <x:v>Not Started</x:v>
      </x:c>
      <x:c r="I39" s="80" t="str">
        <x:v>Enumerate contiguous windows and recompute validity/counts for each.</x:v>
      </x:c>
      <x:c r="J39" s="80" t="str">
        <x:v>Maintain a valid window with two pointers and incremental counts; each boundary moves only forward.</x:v>
      </x:c>
      <x:c r="K39" s="80" t="str">
        <x:v>O(n) typical</x:v>
      </x:c>
      <x:c r="L39" s="80" t="str">
        <x:v>O(alphabet or window state)</x:v>
      </x:c>
      <x:c r="M39" s="84" t="n">
        <x:v>0</x:v>
      </x:c>
      <x:c r="N39" s="86"/>
      <x:c r="O39" s="84"/>
      <x:c r="P39" s="86"/>
      <x:c r="Q39" s="80" t="str">
        <x:v>https://leetcode.com/problems/maximum-points-you-can-obtain-from-cards/</x:v>
      </x:c>
      <x:c r="R39" s="80" t="str"/>
      <x:c r="S39" s="84" t="n">
        <x:f>IF(AND(OR(H39="Solved",H39="Revised"),G39="New (counts toward 400)"),1,0)</x:f>
        <x:v>0</x:v>
      </x:c>
    </x:row>
    <x:row r="40" ht="48" customHeight="1">
      <x:c r="A40" s="84" t="n">
        <x:v>37</x:v>
      </x:c>
      <x:c r="B40" s="84" t="n">
        <x:v>724</x:v>
      </x:c>
      <x:c r="C40" s="80" t="str">
        <x:v>Find Pivot Index</x:v>
      </x:c>
      <x:c r="D40" s="84" t="str">
        <x:v>Easy</x:v>
      </x:c>
      <x:c r="E40" s="84" t="str">
        <x:v>Prefix Sum</x:v>
      </x:c>
      <x:c r="F40" s="84" t="str">
        <x:v>P2</x:v>
      </x:c>
      <x:c r="G40" s="84" t="str">
        <x:v>New (counts toward 400)</x:v>
      </x:c>
      <x:c r="H40" s="84" t="str">
        <x:v>Not Started</x:v>
      </x:c>
      <x:c r="I40" s="80" t="str">
        <x:v>Enumerate ranges and recompute their sums/counts.</x:v>
      </x:c>
      <x:c r="J40" s="80" t="str">
        <x:v>Use running prefix/difference values; store prior prefix frequencies for target-range counts.</x:v>
      </x:c>
      <x:c r="K40" s="80" t="str">
        <x:v>O(n) typical</x:v>
      </x:c>
      <x:c r="L40" s="80" t="str">
        <x:v>O(n)</x:v>
      </x:c>
      <x:c r="M40" s="84" t="n">
        <x:v>0</x:v>
      </x:c>
      <x:c r="N40" s="86"/>
      <x:c r="O40" s="84"/>
      <x:c r="P40" s="86"/>
      <x:c r="Q40" s="80" t="str">
        <x:v>https://leetcode.com/problems/find-pivot-index/</x:v>
      </x:c>
      <x:c r="R40" s="80" t="str"/>
      <x:c r="S40" s="84" t="n">
        <x:f>IF(AND(OR(H40="Solved",H40="Revised"),G40="New (counts toward 400)"),1,0)</x:f>
        <x:v>0</x:v>
      </x:c>
    </x:row>
    <x:row r="41" ht="48" customHeight="1">
      <x:c r="A41" s="84" t="n">
        <x:v>38</x:v>
      </x:c>
      <x:c r="B41" s="84" t="n">
        <x:v>303</x:v>
      </x:c>
      <x:c r="C41" s="80" t="str">
        <x:v>Range Sum Query - Immutable</x:v>
      </x:c>
      <x:c r="D41" s="84" t="str">
        <x:v>Easy</x:v>
      </x:c>
      <x:c r="E41" s="84" t="str">
        <x:v>Prefix Sum</x:v>
      </x:c>
      <x:c r="F41" s="84" t="str">
        <x:v>P2</x:v>
      </x:c>
      <x:c r="G41" s="84" t="str">
        <x:v>New (counts toward 400)</x:v>
      </x:c>
      <x:c r="H41" s="84" t="str">
        <x:v>Not Started</x:v>
      </x:c>
      <x:c r="I41" s="80" t="str">
        <x:v>Enumerate ranges and recompute their sums/counts.</x:v>
      </x:c>
      <x:c r="J41" s="80" t="str">
        <x:v>Use running prefix/difference values; store prior prefix frequencies for target-range counts.</x:v>
      </x:c>
      <x:c r="K41" s="80" t="str">
        <x:v>O(n) typical</x:v>
      </x:c>
      <x:c r="L41" s="80" t="str">
        <x:v>O(n)</x:v>
      </x:c>
      <x:c r="M41" s="84" t="n">
        <x:v>0</x:v>
      </x:c>
      <x:c r="N41" s="86"/>
      <x:c r="O41" s="84"/>
      <x:c r="P41" s="86"/>
      <x:c r="Q41" s="80" t="str">
        <x:v>https://leetcode.com/problems/range-sum-query-immutable/</x:v>
      </x:c>
      <x:c r="R41" s="80" t="str"/>
      <x:c r="S41" s="84" t="n">
        <x:f>IF(AND(OR(H41="Solved",H41="Revised"),G41="New (counts toward 400)"),1,0)</x:f>
        <x:v>0</x:v>
      </x:c>
    </x:row>
    <x:row r="42" ht="48" customHeight="1">
      <x:c r="A42" s="84" t="n">
        <x:v>39</x:v>
      </x:c>
      <x:c r="B42" s="84" t="n">
        <x:v>304</x:v>
      </x:c>
      <x:c r="C42" s="80" t="str">
        <x:v>Range Sum Query 2D - Immutable</x:v>
      </x:c>
      <x:c r="D42" s="84" t="str">
        <x:v>Medium</x:v>
      </x:c>
      <x:c r="E42" s="84" t="str">
        <x:v>2D Prefix Sum</x:v>
      </x:c>
      <x:c r="F42" s="84" t="str">
        <x:v>P2</x:v>
      </x:c>
      <x:c r="G42" s="84" t="str">
        <x:v>New (counts toward 400)</x:v>
      </x:c>
      <x:c r="H42" s="84" t="str">
        <x:v>Not Started</x:v>
      </x:c>
      <x:c r="I42" s="80" t="str">
        <x:v>Enumerate ranges and recompute their sums/counts.</x:v>
      </x:c>
      <x:c r="J42" s="80" t="str">
        <x:v>Use running prefix/difference values; store prior prefix frequencies for target-range counts.</x:v>
      </x:c>
      <x:c r="K42" s="80" t="str">
        <x:v>O(n) typical</x:v>
      </x:c>
      <x:c r="L42" s="80" t="str">
        <x:v>O(n)</x:v>
      </x:c>
      <x:c r="M42" s="84" t="n">
        <x:v>0</x:v>
      </x:c>
      <x:c r="N42" s="86"/>
      <x:c r="O42" s="84"/>
      <x:c r="P42" s="86"/>
      <x:c r="Q42" s="80" t="str">
        <x:v>https://leetcode.com/problems/range-sum-query-2d-immutable/</x:v>
      </x:c>
      <x:c r="R42" s="80" t="str"/>
      <x:c r="S42" s="84" t="n">
        <x:f>IF(AND(OR(H42="Solved",H42="Revised"),G42="New (counts toward 400)"),1,0)</x:f>
        <x:v>0</x:v>
      </x:c>
    </x:row>
    <x:row r="43" ht="48" customHeight="1">
      <x:c r="A43" s="84" t="n">
        <x:v>40</x:v>
      </x:c>
      <x:c r="B43" s="84" t="n">
        <x:v>209</x:v>
      </x:c>
      <x:c r="C43" s="80" t="str">
        <x:v>Minimum Size Subarray Sum</x:v>
      </x:c>
      <x:c r="D43" s="84" t="str">
        <x:v>Medium</x:v>
      </x:c>
      <x:c r="E43" s="84" t="str">
        <x:v>Sliding Window / Binary Search</x:v>
      </x:c>
      <x:c r="F43" s="84" t="str">
        <x:v>P1</x:v>
      </x:c>
      <x:c r="G43" s="84" t="str">
        <x:v>New (counts toward 400)</x:v>
      </x:c>
      <x:c r="H43" s="84" t="str">
        <x:v>Not Started</x:v>
      </x:c>
      <x:c r="I43" s="80" t="str">
        <x:v>Enumerate contiguous windows and recompute validity/counts for each.</x:v>
      </x:c>
      <x:c r="J43" s="80" t="str">
        <x:v>Maintain a valid window with two pointers and incremental counts; each boundary moves only forward.</x:v>
      </x:c>
      <x:c r="K43" s="80" t="str">
        <x:v>O(n) typical</x:v>
      </x:c>
      <x:c r="L43" s="80" t="str">
        <x:v>O(alphabet or window state)</x:v>
      </x:c>
      <x:c r="M43" s="84" t="n">
        <x:v>0</x:v>
      </x:c>
      <x:c r="N43" s="86"/>
      <x:c r="O43" s="84"/>
      <x:c r="P43" s="86"/>
      <x:c r="Q43" s="80" t="str">
        <x:v>https://leetcode.com/problems/minimum-size-subarray-sum/</x:v>
      </x:c>
      <x:c r="R43" s="80" t="str"/>
      <x:c r="S43" s="84" t="n">
        <x:f>IF(AND(OR(H43="Solved",H43="Revised"),G43="New (counts toward 400)"),1,0)</x:f>
        <x:v>0</x:v>
      </x:c>
    </x:row>
    <x:row r="44" ht="48" customHeight="1">
      <x:c r="A44" s="84" t="n">
        <x:v>41</x:v>
      </x:c>
      <x:c r="B44" s="84" t="n">
        <x:v>862</x:v>
      </x:c>
      <x:c r="C44" s="80" t="str">
        <x:v>Shortest Subarray with Sum at Least K</x:v>
      </x:c>
      <x:c r="D44" s="84" t="str">
        <x:v>Hard</x:v>
      </x:c>
      <x:c r="E44" s="84" t="str">
        <x:v>Prefix Sum / Monotonic Deque</x:v>
      </x:c>
      <x:c r="F44" s="84" t="str">
        <x:v>P2</x:v>
      </x:c>
      <x:c r="G44" s="84" t="str">
        <x:v>New (counts toward 400)</x:v>
      </x:c>
      <x:c r="H44" s="84" t="str">
        <x:v>Not Started</x:v>
      </x:c>
      <x:c r="I44" s="80" t="str">
        <x:v>Enumerate ranges and recompute their sums/counts.</x:v>
      </x:c>
      <x:c r="J44" s="80" t="str">
        <x:v>Use running prefix/difference values; store prior prefix frequencies for target-range counts.</x:v>
      </x:c>
      <x:c r="K44" s="80" t="str">
        <x:v>O(n) typical</x:v>
      </x:c>
      <x:c r="L44" s="80" t="str">
        <x:v>O(n)</x:v>
      </x:c>
      <x:c r="M44" s="84" t="n">
        <x:v>0</x:v>
      </x:c>
      <x:c r="N44" s="86"/>
      <x:c r="O44" s="84"/>
      <x:c r="P44" s="86"/>
      <x:c r="Q44" s="80" t="str">
        <x:v>https://leetcode.com/problems/shortest-subarray-with-sum-at-least-k/</x:v>
      </x:c>
      <x:c r="R44" s="80" t="str"/>
      <x:c r="S44" s="84" t="n">
        <x:f>IF(AND(OR(H44="Solved",H44="Revised"),G44="New (counts toward 400)"),1,0)</x:f>
        <x:v>0</x:v>
      </x:c>
    </x:row>
    <x:row r="45" ht="48" customHeight="1">
      <x:c r="A45" s="84" t="n">
        <x:v>42</x:v>
      </x:c>
      <x:c r="B45" s="84" t="n">
        <x:v>930</x:v>
      </x:c>
      <x:c r="C45" s="80" t="str">
        <x:v>Binary Subarrays With Sum</x:v>
      </x:c>
      <x:c r="D45" s="84" t="str">
        <x:v>Medium</x:v>
      </x:c>
      <x:c r="E45" s="84" t="str">
        <x:v>Prefix Sum / Sliding Window</x:v>
      </x:c>
      <x:c r="F45" s="84" t="str">
        <x:v>P2</x:v>
      </x:c>
      <x:c r="G45" s="84" t="str">
        <x:v>New (counts toward 400)</x:v>
      </x:c>
      <x:c r="H45" s="84" t="str">
        <x:v>Not Started</x:v>
      </x:c>
      <x:c r="I45" s="80" t="str">
        <x:v>Enumerate contiguous windows and recompute validity/counts for each.</x:v>
      </x:c>
      <x:c r="J45" s="80" t="str">
        <x:v>Maintain a valid window with two pointers and incremental counts; each boundary moves only forward.</x:v>
      </x:c>
      <x:c r="K45" s="80" t="str">
        <x:v>O(n) typical</x:v>
      </x:c>
      <x:c r="L45" s="80" t="str">
        <x:v>O(alphabet or window state)</x:v>
      </x:c>
      <x:c r="M45" s="84" t="n">
        <x:v>0</x:v>
      </x:c>
      <x:c r="N45" s="86"/>
      <x:c r="O45" s="84"/>
      <x:c r="P45" s="86"/>
      <x:c r="Q45" s="80" t="str">
        <x:v>https://leetcode.com/problems/binary-subarrays-with-sum/</x:v>
      </x:c>
      <x:c r="R45" s="80" t="str"/>
      <x:c r="S45" s="84" t="n">
        <x:f>IF(AND(OR(H45="Solved",H45="Revised"),G45="New (counts toward 400)"),1,0)</x:f>
        <x:v>0</x:v>
      </x:c>
    </x:row>
    <x:row r="46" ht="48" customHeight="1">
      <x:c r="A46" s="84" t="n">
        <x:v>43</x:v>
      </x:c>
      <x:c r="B46" s="84" t="n">
        <x:v>974</x:v>
      </x:c>
      <x:c r="C46" s="80" t="str">
        <x:v>Subarray Sums Divisible by K</x:v>
      </x:c>
      <x:c r="D46" s="84" t="str">
        <x:v>Medium</x:v>
      </x:c>
      <x:c r="E46" s="84" t="str">
        <x:v>Prefix Sum &amp; Hashing</x:v>
      </x:c>
      <x:c r="F46" s="84" t="str">
        <x:v>P2</x:v>
      </x:c>
      <x:c r="G46" s="84" t="str">
        <x:v>New (counts toward 400)</x:v>
      </x:c>
      <x:c r="H46" s="84" t="str">
        <x:v>Not Started</x:v>
      </x:c>
      <x:c r="I46" s="80" t="str">
        <x:v>Enumerate ranges and recompute their sums/counts.</x:v>
      </x:c>
      <x:c r="J46" s="80" t="str">
        <x:v>Use running prefix/difference values; store prior prefix frequencies for target-range counts.</x:v>
      </x:c>
      <x:c r="K46" s="80" t="str">
        <x:v>O(n) typical</x:v>
      </x:c>
      <x:c r="L46" s="80" t="str">
        <x:v>O(n)</x:v>
      </x:c>
      <x:c r="M46" s="84" t="n">
        <x:v>0</x:v>
      </x:c>
      <x:c r="N46" s="86"/>
      <x:c r="O46" s="84"/>
      <x:c r="P46" s="86"/>
      <x:c r="Q46" s="80" t="str">
        <x:v>https://leetcode.com/problems/subarray-sums-divisible-by-k/</x:v>
      </x:c>
      <x:c r="R46" s="80" t="str"/>
      <x:c r="S46" s="84" t="n">
        <x:f>IF(AND(OR(H46="Solved",H46="Revised"),G46="New (counts toward 400)"),1,0)</x:f>
        <x:v>0</x:v>
      </x:c>
    </x:row>
    <x:row r="47" ht="48" customHeight="1">
      <x:c r="A47" s="84" t="n">
        <x:v>44</x:v>
      </x:c>
      <x:c r="B47" s="84" t="n">
        <x:v>523</x:v>
      </x:c>
      <x:c r="C47" s="80" t="str">
        <x:v>Continuous Subarray Sum</x:v>
      </x:c>
      <x:c r="D47" s="84" t="str">
        <x:v>Medium</x:v>
      </x:c>
      <x:c r="E47" s="84" t="str">
        <x:v>Prefix Sum &amp; Hashing</x:v>
      </x:c>
      <x:c r="F47" s="84" t="str">
        <x:v>P2</x:v>
      </x:c>
      <x:c r="G47" s="84" t="str">
        <x:v>New (counts toward 400)</x:v>
      </x:c>
      <x:c r="H47" s="84" t="str">
        <x:v>Not Started</x:v>
      </x:c>
      <x:c r="I47" s="80" t="str">
        <x:v>Enumerate ranges and recompute their sums/counts.</x:v>
      </x:c>
      <x:c r="J47" s="80" t="str">
        <x:v>Use running prefix/difference values; store prior prefix frequencies for target-range counts.</x:v>
      </x:c>
      <x:c r="K47" s="80" t="str">
        <x:v>O(n) typical</x:v>
      </x:c>
      <x:c r="L47" s="80" t="str">
        <x:v>O(n)</x:v>
      </x:c>
      <x:c r="M47" s="84" t="n">
        <x:v>0</x:v>
      </x:c>
      <x:c r="N47" s="86"/>
      <x:c r="O47" s="84"/>
      <x:c r="P47" s="86"/>
      <x:c r="Q47" s="80" t="str">
        <x:v>https://leetcode.com/problems/continuous-subarray-sum/</x:v>
      </x:c>
      <x:c r="R47" s="80" t="str"/>
      <x:c r="S47" s="84" t="n">
        <x:f>IF(AND(OR(H47="Solved",H47="Revised"),G47="New (counts toward 400)"),1,0)</x:f>
        <x:v>0</x:v>
      </x:c>
    </x:row>
    <x:row r="48" ht="48" customHeight="1">
      <x:c r="A48" s="84" t="n">
        <x:v>45</x:v>
      </x:c>
      <x:c r="B48" s="84" t="n">
        <x:v>1014</x:v>
      </x:c>
      <x:c r="C48" s="80" t="str">
        <x:v>Best Sightseeing Pair</x:v>
      </x:c>
      <x:c r="D48" s="84" t="str">
        <x:v>Medium</x:v>
      </x:c>
      <x:c r="E48" s="84" t="str">
        <x:v>Greedy / Prefix Best</x:v>
      </x:c>
      <x:c r="F48" s="84" t="str">
        <x:v>P2</x:v>
      </x:c>
      <x:c r="G48" s="84" t="str">
        <x:v>New (counts toward 400)</x:v>
      </x:c>
      <x:c r="H48" s="84" t="str">
        <x:v>Not Started</x:v>
      </x:c>
      <x:c r="I48" s="80" t="str">
        <x:v>Try multiple selection/order choices or compare each interval with every other interval.</x:v>
      </x:c>
      <x:c r="J48" s="80" t="str">
        <x:v>Sort by the key that exposes feasibility (often start/end), then prove the greedy choice with an invariant.</x:v>
      </x:c>
      <x:c r="K48" s="80" t="str">
        <x:v>O(n log n)</x:v>
      </x:c>
      <x:c r="L48" s="80" t="str">
        <x:v>O(n) output or O(1) extra</x:v>
      </x:c>
      <x:c r="M48" s="84" t="n">
        <x:v>0</x:v>
      </x:c>
      <x:c r="N48" s="86"/>
      <x:c r="O48" s="84"/>
      <x:c r="P48" s="86"/>
      <x:c r="Q48" s="80" t="str">
        <x:v>https://leetcode.com/problems/best-sightseeing-pair/</x:v>
      </x:c>
      <x:c r="R48" s="80" t="str"/>
      <x:c r="S48" s="84" t="n">
        <x:f>IF(AND(OR(H48="Solved",H48="Revised"),G48="New (counts toward 400)"),1,0)</x:f>
        <x:v>0</x:v>
      </x:c>
    </x:row>
    <x:row r="49" ht="48" customHeight="1">
      <x:c r="A49" s="84" t="n">
        <x:v>46</x:v>
      </x:c>
      <x:c r="B49" s="84" t="n">
        <x:v>1749</x:v>
      </x:c>
      <x:c r="C49" s="80" t="str">
        <x:v>Maximum Absolute Sum of Any Subarray</x:v>
      </x:c>
      <x:c r="D49" s="84" t="str">
        <x:v>Medium</x:v>
      </x:c>
      <x:c r="E49" s="84" t="str">
        <x:v>Kadane / DP</x:v>
      </x:c>
      <x:c r="F49" s="84" t="str">
        <x:v>P2</x:v>
      </x:c>
      <x:c r="G49" s="84" t="str">
        <x:v>New (counts toward 400)</x:v>
      </x:c>
      <x:c r="H49" s="84" t="str">
        <x:v>Not Started</x:v>
      </x:c>
      <x:c r="I49" s="80" t="str">
        <x:v>Express choices recursively without memoization; repeated subproblems can make this exponential.</x:v>
      </x:c>
      <x:c r="J49" s="80" t="str">
        <x:v>Define state, base cases, and transition; memoize, then tabulate and compress dimensions if dependencies allow.</x:v>
      </x:c>
      <x:c r="K49" s="80" t="str">
        <x:v>O(states × transitions)</x:v>
      </x:c>
      <x:c r="L49" s="80" t="str">
        <x:v>O(number of states)</x:v>
      </x:c>
      <x:c r="M49" s="84" t="n">
        <x:v>0</x:v>
      </x:c>
      <x:c r="N49" s="86"/>
      <x:c r="O49" s="84"/>
      <x:c r="P49" s="86"/>
      <x:c r="Q49" s="80" t="str">
        <x:v>https://leetcode.com/problems/maximum-absolute-sum-of-any-subarray/</x:v>
      </x:c>
      <x:c r="R49" s="80" t="str"/>
      <x:c r="S49" s="84" t="n">
        <x:f>IF(AND(OR(H49="Solved",H49="Revised"),G49="New (counts toward 400)"),1,0)</x:f>
        <x:v>0</x:v>
      </x:c>
    </x:row>
    <x:row r="50" ht="48" customHeight="1">
      <x:c r="A50" s="84" t="n">
        <x:v>47</x:v>
      </x:c>
      <x:c r="B50" s="84" t="n">
        <x:v>1207</x:v>
      </x:c>
      <x:c r="C50" s="80" t="str">
        <x:v>Unique Number of Occurrences</x:v>
      </x:c>
      <x:c r="D50" s="84" t="str">
        <x:v>Easy</x:v>
      </x:c>
      <x:c r="E50" s="84" t="str">
        <x:v>Hashing</x:v>
      </x:c>
      <x:c r="F50" s="84" t="str">
        <x:v>P2</x:v>
      </x:c>
      <x:c r="G50" s="84" t="str">
        <x:v>New (counts toward 400)</x:v>
      </x:c>
      <x:c r="H50" s="84" t="str">
        <x:v>Not Started</x:v>
      </x:c>
      <x:c r="I50" s="80" t="str">
        <x:v>Use a simple collection and linearly scan when an operation occurs.</x:v>
      </x:c>
      <x:c r="J50" s="80" t="str">
        <x:v>Select structures to match operations: hash map for lookup, doubly linked list for recency, heap for ordered extraction.</x:v>
      </x:c>
      <x:c r="K50" s="80" t="str">
        <x:v>O(1) average or O(log n) per operation</x:v>
      </x:c>
      <x:c r="L50" s="80" t="str">
        <x:v>O(n)</x:v>
      </x:c>
      <x:c r="M50" s="84" t="n">
        <x:v>0</x:v>
      </x:c>
      <x:c r="N50" s="86"/>
      <x:c r="O50" s="84"/>
      <x:c r="P50" s="86"/>
      <x:c r="Q50" s="80" t="str">
        <x:v>https://leetcode.com/problems/unique-number-of-occurrences/</x:v>
      </x:c>
      <x:c r="R50" s="80" t="str"/>
      <x:c r="S50" s="84" t="n">
        <x:f>IF(AND(OR(H50="Solved",H50="Revised"),G50="New (counts toward 400)"),1,0)</x:f>
        <x:v>0</x:v>
      </x:c>
    </x:row>
    <x:row r="51" ht="48" customHeight="1">
      <x:c r="A51" s="84" t="n">
        <x:v>48</x:v>
      </x:c>
      <x:c r="B51" s="84" t="n">
        <x:v>1695</x:v>
      </x:c>
      <x:c r="C51" s="80" t="str">
        <x:v>Maximum Erasure Value</x:v>
      </x:c>
      <x:c r="D51" s="84" t="str">
        <x:v>Medium</x:v>
      </x:c>
      <x:c r="E51" s="84" t="str">
        <x:v>Sliding Window &amp; Set</x:v>
      </x:c>
      <x:c r="F51" s="84" t="str">
        <x:v>P2</x:v>
      </x:c>
      <x:c r="G51" s="84" t="str">
        <x:v>New (counts toward 400)</x:v>
      </x:c>
      <x:c r="H51" s="84" t="str">
        <x:v>Not Started</x:v>
      </x:c>
      <x:c r="I51" s="80" t="str">
        <x:v>Enumerate contiguous windows and recompute validity/counts for each.</x:v>
      </x:c>
      <x:c r="J51" s="80" t="str">
        <x:v>Maintain a valid window with two pointers and incremental counts; each boundary moves only forward.</x:v>
      </x:c>
      <x:c r="K51" s="80" t="str">
        <x:v>O(n) typical</x:v>
      </x:c>
      <x:c r="L51" s="80" t="str">
        <x:v>O(alphabet or window state)</x:v>
      </x:c>
      <x:c r="M51" s="84" t="n">
        <x:v>0</x:v>
      </x:c>
      <x:c r="N51" s="86"/>
      <x:c r="O51" s="84"/>
      <x:c r="P51" s="86"/>
      <x:c r="Q51" s="80" t="str">
        <x:v>https://leetcode.com/problems/maximum-erasure-value/</x:v>
      </x:c>
      <x:c r="R51" s="80" t="str"/>
      <x:c r="S51" s="84" t="n">
        <x:f>IF(AND(OR(H51="Solved",H51="Revised"),G51="New (counts toward 400)"),1,0)</x:f>
        <x:v>0</x:v>
      </x:c>
    </x:row>
    <x:row r="52" ht="48" customHeight="1">
      <x:c r="A52" s="84" t="n">
        <x:v>49</x:v>
      </x:c>
      <x:c r="B52" s="84" t="n">
        <x:v>1524</x:v>
      </x:c>
      <x:c r="C52" s="80" t="str">
        <x:v>Number of Sub-arrays With Odd Sum</x:v>
      </x:c>
      <x:c r="D52" s="84" t="str">
        <x:v>Medium</x:v>
      </x:c>
      <x:c r="E52" s="84" t="str">
        <x:v>Prefix Sum / DP</x:v>
      </x:c>
      <x:c r="F52" s="84" t="str">
        <x:v>P2</x:v>
      </x:c>
      <x:c r="G52" s="84" t="str">
        <x:v>New (counts toward 400)</x:v>
      </x:c>
      <x:c r="H52" s="84" t="str">
        <x:v>Not Started</x:v>
      </x:c>
      <x:c r="I52" s="80" t="str">
        <x:v>Enumerate ranges and recompute their sums/counts.</x:v>
      </x:c>
      <x:c r="J52" s="80" t="str">
        <x:v>Use running prefix/difference values; store prior prefix frequencies for target-range counts.</x:v>
      </x:c>
      <x:c r="K52" s="80" t="str">
        <x:v>O(n) typical</x:v>
      </x:c>
      <x:c r="L52" s="80" t="str">
        <x:v>O(n)</x:v>
      </x:c>
      <x:c r="M52" s="84" t="n">
        <x:v>0</x:v>
      </x:c>
      <x:c r="N52" s="86"/>
      <x:c r="O52" s="84"/>
      <x:c r="P52" s="86"/>
      <x:c r="Q52" s="80" t="str">
        <x:v>https://leetcode.com/problems/number-of-sub-arrays-with-odd-sum/</x:v>
      </x:c>
      <x:c r="R52" s="80" t="str"/>
      <x:c r="S52" s="84" t="n">
        <x:f>IF(AND(OR(H52="Solved",H52="Revised"),G52="New (counts toward 400)"),1,0)</x:f>
        <x:v>0</x:v>
      </x:c>
    </x:row>
    <x:row r="53" ht="48" customHeight="1">
      <x:c r="A53" s="84" t="n">
        <x:v>50</x:v>
      </x:c>
      <x:c r="B53" s="84" t="n">
        <x:v>643</x:v>
      </x:c>
      <x:c r="C53" s="80" t="str">
        <x:v>Maximum Average Subarray I</x:v>
      </x:c>
      <x:c r="D53" s="84" t="str">
        <x:v>Easy</x:v>
      </x:c>
      <x:c r="E53" s="84" t="str">
        <x:v>Sliding Window</x:v>
      </x:c>
      <x:c r="F53" s="84" t="str">
        <x:v>P2</x:v>
      </x:c>
      <x:c r="G53" s="84" t="str">
        <x:v>New (counts toward 400)</x:v>
      </x:c>
      <x:c r="H53" s="84" t="str">
        <x:v>Not Started</x:v>
      </x:c>
      <x:c r="I53" s="80" t="str">
        <x:v>Enumerate contiguous windows and recompute validity/counts for each.</x:v>
      </x:c>
      <x:c r="J53" s="80" t="str">
        <x:v>Maintain a valid window with two pointers and incremental counts; each boundary moves only forward.</x:v>
      </x:c>
      <x:c r="K53" s="80" t="str">
        <x:v>O(n) typical</x:v>
      </x:c>
      <x:c r="L53" s="80" t="str">
        <x:v>O(alphabet or window state)</x:v>
      </x:c>
      <x:c r="M53" s="84" t="n">
        <x:v>0</x:v>
      </x:c>
      <x:c r="N53" s="86"/>
      <x:c r="O53" s="84"/>
      <x:c r="P53" s="86"/>
      <x:c r="Q53" s="80" t="str">
        <x:v>https://leetcode.com/problems/maximum-average-subarray-i/</x:v>
      </x:c>
      <x:c r="R53" s="80" t="str"/>
      <x:c r="S53" s="84" t="n">
        <x:f>IF(AND(OR(H53="Solved",H53="Revised"),G53="New (counts toward 400)"),1,0)</x:f>
        <x:v>0</x:v>
      </x:c>
    </x:row>
    <x:row r="54" ht="48" customHeight="1">
      <x:c r="A54" s="84" t="n">
        <x:v>51</x:v>
      </x:c>
      <x:c r="B54" s="84" t="n">
        <x:v>3</x:v>
      </x:c>
      <x:c r="C54" s="80" t="str">
        <x:v>Longest Substring Without Repeating Characters</x:v>
      </x:c>
      <x:c r="D54" s="84" t="str">
        <x:v>Medium</x:v>
      </x:c>
      <x:c r="E54" s="84" t="str">
        <x:v>Sliding Window</x:v>
      </x:c>
      <x:c r="F54" s="84" t="str">
        <x:v>P1</x:v>
      </x:c>
      <x:c r="G54" s="84" t="str">
        <x:v>New (counts toward 400)</x:v>
      </x:c>
      <x:c r="H54" s="84" t="str">
        <x:v>Not Started</x:v>
      </x:c>
      <x:c r="I54" s="80" t="str">
        <x:v>Expand a substring from every start and stop at the first duplicate.</x:v>
      </x:c>
      <x:c r="J54" s="80" t="str">
        <x:v>Sliding window with last-seen positions; move left beyond a repeated character's previous index.</x:v>
      </x:c>
      <x:c r="K54" s="80" t="str">
        <x:v>O(n)</x:v>
      </x:c>
      <x:c r="L54" s="80" t="str">
        <x:v>O(min(n, alphabet))</x:v>
      </x:c>
      <x:c r="M54" s="84" t="n">
        <x:v>0</x:v>
      </x:c>
      <x:c r="N54" s="86"/>
      <x:c r="O54" s="84"/>
      <x:c r="P54" s="86"/>
      <x:c r="Q54" s="80" t="str">
        <x:v>https://leetcode.com/problems/longest-substring-without-repeating-characters/</x:v>
      </x:c>
      <x:c r="R54" s="80" t="str"/>
      <x:c r="S54" s="84" t="n">
        <x:f>IF(AND(OR(H54="Solved",H54="Revised"),G54="New (counts toward 400)"),1,0)</x:f>
        <x:v>0</x:v>
      </x:c>
    </x:row>
    <x:row r="55" ht="48" customHeight="1">
      <x:c r="A55" s="84" t="n">
        <x:v>52</x:v>
      </x:c>
      <x:c r="B55" s="84" t="n">
        <x:v>424</x:v>
      </x:c>
      <x:c r="C55" s="80" t="str">
        <x:v>Longest Repeating Character Replacement</x:v>
      </x:c>
      <x:c r="D55" s="84" t="str">
        <x:v>Medium</x:v>
      </x:c>
      <x:c r="E55" s="84" t="str">
        <x:v>Sliding Window</x:v>
      </x:c>
      <x:c r="F55" s="84" t="str">
        <x:v>P1</x:v>
      </x:c>
      <x:c r="G55" s="84" t="str">
        <x:v>New (counts toward 400)</x:v>
      </x:c>
      <x:c r="H55" s="84" t="str">
        <x:v>Not Started</x:v>
      </x:c>
      <x:c r="I55" s="80" t="str">
        <x:v>Enumerate contiguous windows and recompute validity/counts for each.</x:v>
      </x:c>
      <x:c r="J55" s="80" t="str">
        <x:v>Maintain a valid window with two pointers and incremental counts; each boundary moves only forward.</x:v>
      </x:c>
      <x:c r="K55" s="80" t="str">
        <x:v>O(n) typical</x:v>
      </x:c>
      <x:c r="L55" s="80" t="str">
        <x:v>O(alphabet or window state)</x:v>
      </x:c>
      <x:c r="M55" s="84" t="n">
        <x:v>0</x:v>
      </x:c>
      <x:c r="N55" s="86"/>
      <x:c r="O55" s="84"/>
      <x:c r="P55" s="86"/>
      <x:c r="Q55" s="80" t="str">
        <x:v>https://leetcode.com/problems/longest-repeating-character-replacement/</x:v>
      </x:c>
      <x:c r="R55" s="80" t="str"/>
      <x:c r="S55" s="84" t="n">
        <x:f>IF(AND(OR(H55="Solved",H55="Revised"),G55="New (counts toward 400)"),1,0)</x:f>
        <x:v>0</x:v>
      </x:c>
    </x:row>
    <x:row r="56" ht="48" customHeight="1">
      <x:c r="A56" s="84" t="n">
        <x:v>53</x:v>
      </x:c>
      <x:c r="B56" s="84" t="n">
        <x:v>76</x:v>
      </x:c>
      <x:c r="C56" s="80" t="str">
        <x:v>Minimum Window Substring</x:v>
      </x:c>
      <x:c r="D56" s="84" t="str">
        <x:v>Hard</x:v>
      </x:c>
      <x:c r="E56" s="84" t="str">
        <x:v>Sliding Window</x:v>
      </x:c>
      <x:c r="F56" s="84" t="str">
        <x:v>P1</x:v>
      </x:c>
      <x:c r="G56" s="84" t="str">
        <x:v>New (counts toward 400)</x:v>
      </x:c>
      <x:c r="H56" s="84" t="str">
        <x:v>Not Started</x:v>
      </x:c>
      <x:c r="I56" s="80" t="str">
        <x:v>Check every substring and count whether all target characters are present.</x:v>
      </x:c>
      <x:c r="J56" s="80" t="str">
        <x:v>Sliding window with required/formed counts; expand right and shrink left while valid.</x:v>
      </x:c>
      <x:c r="K56" s="80" t="str">
        <x:v>O(|s| + |t|)</x:v>
      </x:c>
      <x:c r="L56" s="80" t="str">
        <x:v>O(alphabet)</x:v>
      </x:c>
      <x:c r="M56" s="84" t="n">
        <x:v>0</x:v>
      </x:c>
      <x:c r="N56" s="86"/>
      <x:c r="O56" s="84"/>
      <x:c r="P56" s="86"/>
      <x:c r="Q56" s="80" t="str">
        <x:v>https://leetcode.com/problems/minimum-window-substring/</x:v>
      </x:c>
      <x:c r="R56" s="80" t="str"/>
      <x:c r="S56" s="84" t="n">
        <x:f>IF(AND(OR(H56="Solved",H56="Revised"),G56="New (counts toward 400)"),1,0)</x:f>
        <x:v>0</x:v>
      </x:c>
    </x:row>
    <x:row r="57" ht="48" customHeight="1">
      <x:c r="A57" s="84" t="n">
        <x:v>54</x:v>
      </x:c>
      <x:c r="B57" s="84" t="n">
        <x:v>567</x:v>
      </x:c>
      <x:c r="C57" s="80" t="str">
        <x:v>Permutation in String</x:v>
      </x:c>
      <x:c r="D57" s="84" t="str">
        <x:v>Medium</x:v>
      </x:c>
      <x:c r="E57" s="84" t="str">
        <x:v>Sliding Window / Hashing</x:v>
      </x:c>
      <x:c r="F57" s="84" t="str">
        <x:v>P1</x:v>
      </x:c>
      <x:c r="G57" s="84" t="str">
        <x:v>New (counts toward 400)</x:v>
      </x:c>
      <x:c r="H57" s="84" t="str">
        <x:v>Not Started</x:v>
      </x:c>
      <x:c r="I57" s="80" t="str">
        <x:v>Enumerate contiguous windows and recompute validity/counts for each.</x:v>
      </x:c>
      <x:c r="J57" s="80" t="str">
        <x:v>Maintain a valid window with two pointers and incremental counts; each boundary moves only forward.</x:v>
      </x:c>
      <x:c r="K57" s="80" t="str">
        <x:v>O(n) typical</x:v>
      </x:c>
      <x:c r="L57" s="80" t="str">
        <x:v>O(alphabet or window state)</x:v>
      </x:c>
      <x:c r="M57" s="84" t="n">
        <x:v>0</x:v>
      </x:c>
      <x:c r="N57" s="86"/>
      <x:c r="O57" s="84"/>
      <x:c r="P57" s="86"/>
      <x:c r="Q57" s="80" t="str">
        <x:v>https://leetcode.com/problems/permutation-in-string/</x:v>
      </x:c>
      <x:c r="R57" s="80" t="str"/>
      <x:c r="S57" s="84" t="n">
        <x:f>IF(AND(OR(H57="Solved",H57="Revised"),G57="New (counts toward 400)"),1,0)</x:f>
        <x:v>0</x:v>
      </x:c>
    </x:row>
    <x:row r="58" ht="48" customHeight="1">
      <x:c r="A58" s="84" t="n">
        <x:v>55</x:v>
      </x:c>
      <x:c r="B58" s="84" t="n">
        <x:v>438</x:v>
      </x:c>
      <x:c r="C58" s="80" t="str">
        <x:v>Find All Anagrams in a String</x:v>
      </x:c>
      <x:c r="D58" s="84" t="str">
        <x:v>Medium</x:v>
      </x:c>
      <x:c r="E58" s="84" t="str">
        <x:v>Sliding Window / Hashing</x:v>
      </x:c>
      <x:c r="F58" s="84" t="str">
        <x:v>P2</x:v>
      </x:c>
      <x:c r="G58" s="84" t="str">
        <x:v>New (counts toward 400)</x:v>
      </x:c>
      <x:c r="H58" s="84" t="str">
        <x:v>Not Started</x:v>
      </x:c>
      <x:c r="I58" s="80" t="str">
        <x:v>Enumerate contiguous windows and recompute validity/counts for each.</x:v>
      </x:c>
      <x:c r="J58" s="80" t="str">
        <x:v>Maintain a valid window with two pointers and incremental counts; each boundary moves only forward.</x:v>
      </x:c>
      <x:c r="K58" s="80" t="str">
        <x:v>O(n) typical</x:v>
      </x:c>
      <x:c r="L58" s="80" t="str">
        <x:v>O(alphabet or window state)</x:v>
      </x:c>
      <x:c r="M58" s="84" t="n">
        <x:v>0</x:v>
      </x:c>
      <x:c r="N58" s="86"/>
      <x:c r="O58" s="84"/>
      <x:c r="P58" s="86"/>
      <x:c r="Q58" s="80" t="str">
        <x:v>https://leetcode.com/problems/find-all-anagrams-in-a-string/</x:v>
      </x:c>
      <x:c r="R58" s="80" t="str"/>
      <x:c r="S58" s="84" t="n">
        <x:f>IF(AND(OR(H58="Solved",H58="Revised"),G58="New (counts toward 400)"),1,0)</x:f>
        <x:v>0</x:v>
      </x:c>
    </x:row>
    <x:row r="59" ht="48" customHeight="1">
      <x:c r="A59" s="84" t="n">
        <x:v>56</x:v>
      </x:c>
      <x:c r="B59" s="84" t="n">
        <x:v>30</x:v>
      </x:c>
      <x:c r="C59" s="80" t="str">
        <x:v>Substring with Concatenation of All Words</x:v>
      </x:c>
      <x:c r="D59" s="84" t="str">
        <x:v>Hard</x:v>
      </x:c>
      <x:c r="E59" s="84" t="str">
        <x:v>Sliding Window / Hashing</x:v>
      </x:c>
      <x:c r="F59" s="84" t="str">
        <x:v>P2</x:v>
      </x:c>
      <x:c r="G59" s="84" t="str">
        <x:v>New (counts toward 400)</x:v>
      </x:c>
      <x:c r="H59" s="84" t="str">
        <x:v>Not Started</x:v>
      </x:c>
      <x:c r="I59" s="80" t="str">
        <x:v>Enumerate contiguous windows and recompute validity/counts for each.</x:v>
      </x:c>
      <x:c r="J59" s="80" t="str">
        <x:v>Maintain a valid window with two pointers and incremental counts; each boundary moves only forward.</x:v>
      </x:c>
      <x:c r="K59" s="80" t="str">
        <x:v>O(n) typical</x:v>
      </x:c>
      <x:c r="L59" s="80" t="str">
        <x:v>O(alphabet or window state)</x:v>
      </x:c>
      <x:c r="M59" s="84" t="n">
        <x:v>0</x:v>
      </x:c>
      <x:c r="N59" s="86"/>
      <x:c r="O59" s="84"/>
      <x:c r="P59" s="86"/>
      <x:c r="Q59" s="80" t="str">
        <x:v>https://leetcode.com/problems/substring-with-concatenation-of-all-words/</x:v>
      </x:c>
      <x:c r="R59" s="80" t="str"/>
      <x:c r="S59" s="84" t="n">
        <x:f>IF(AND(OR(H59="Solved",H59="Revised"),G59="New (counts toward 400)"),1,0)</x:f>
        <x:v>0</x:v>
      </x:c>
    </x:row>
    <x:row r="60" ht="48" customHeight="1">
      <x:c r="A60" s="84" t="n">
        <x:v>57</x:v>
      </x:c>
      <x:c r="B60" s="84" t="n">
        <x:v>5</x:v>
      </x:c>
      <x:c r="C60" s="80" t="str">
        <x:v>Longest Palindromic Substring</x:v>
      </x:c>
      <x:c r="D60" s="84" t="str">
        <x:v>Medium</x:v>
      </x:c>
      <x:c r="E60" s="84" t="str">
        <x:v>Strings / Two Pointers</x:v>
      </x:c>
      <x:c r="F60" s="84" t="str">
        <x:v>P1</x:v>
      </x:c>
      <x:c r="G60" s="84" t="str">
        <x:v>New (counts toward 400)</x:v>
      </x:c>
      <x:c r="H60" s="84" t="str">
        <x:v>Not Started</x:v>
      </x:c>
      <x:c r="I60" s="80" t="str">
        <x:v>Enumerate candidate pairs/segments and compare their values.</x:v>
      </x:c>
      <x:c r="J60" s="80" t="str">
        <x:v>Use sorted order or a monotonic invariant to decide which pointer moves; skip duplicates when needed.</x:v>
      </x:c>
      <x:c r="K60" s="80" t="str">
        <x:v>O(n) to O(n log n)</x:v>
      </x:c>
      <x:c r="L60" s="80" t="str">
        <x:v>O(1) extra excluding output</x:v>
      </x:c>
      <x:c r="M60" s="84" t="n">
        <x:v>0</x:v>
      </x:c>
      <x:c r="N60" s="86"/>
      <x:c r="O60" s="84"/>
      <x:c r="P60" s="86"/>
      <x:c r="Q60" s="80" t="str">
        <x:v>https://leetcode.com/problems/longest-palindromic-substring/</x:v>
      </x:c>
      <x:c r="R60" s="80" t="str"/>
      <x:c r="S60" s="84" t="n">
        <x:f>IF(AND(OR(H60="Solved",H60="Revised"),G60="New (counts toward 400)"),1,0)</x:f>
        <x:v>0</x:v>
      </x:c>
    </x:row>
    <x:row r="61" ht="48" customHeight="1">
      <x:c r="A61" s="84" t="n">
        <x:v>58</x:v>
      </x:c>
      <x:c r="B61" s="84" t="n">
        <x:v>647</x:v>
      </x:c>
      <x:c r="C61" s="80" t="str">
        <x:v>Palindromic Substrings</x:v>
      </x:c>
      <x:c r="D61" s="84" t="str">
        <x:v>Medium</x:v>
      </x:c>
      <x:c r="E61" s="84" t="str">
        <x:v>Strings / DP</x:v>
      </x:c>
      <x:c r="F61" s="84" t="str">
        <x:v>P2</x:v>
      </x:c>
      <x:c r="G61" s="84" t="str">
        <x:v>New (counts toward 400)</x:v>
      </x:c>
      <x:c r="H61" s="84" t="str">
        <x:v>Not Started</x:v>
      </x:c>
      <x:c r="I61" s="80" t="str">
        <x:v>Express choices recursively without memoization; repeated subproblems can make this exponential.</x:v>
      </x:c>
      <x:c r="J61" s="80" t="str">
        <x:v>Define state, base cases, and transition; memoize, then tabulate and compress dimensions if dependencies allow.</x:v>
      </x:c>
      <x:c r="K61" s="80" t="str">
        <x:v>O(states × transitions)</x:v>
      </x:c>
      <x:c r="L61" s="80" t="str">
        <x:v>O(number of states)</x:v>
      </x:c>
      <x:c r="M61" s="84" t="n">
        <x:v>0</x:v>
      </x:c>
      <x:c r="N61" s="86"/>
      <x:c r="O61" s="84"/>
      <x:c r="P61" s="86"/>
      <x:c r="Q61" s="80" t="str">
        <x:v>https://leetcode.com/problems/palindromic-substrings/</x:v>
      </x:c>
      <x:c r="R61" s="80" t="str"/>
      <x:c r="S61" s="84" t="n">
        <x:f>IF(AND(OR(H61="Solved",H61="Revised"),G61="New (counts toward 400)"),1,0)</x:f>
        <x:v>0</x:v>
      </x:c>
    </x:row>
    <x:row r="62" ht="48" customHeight="1">
      <x:c r="A62" s="84" t="n">
        <x:v>59</x:v>
      </x:c>
      <x:c r="B62" s="84" t="n">
        <x:v>125</x:v>
      </x:c>
      <x:c r="C62" s="80" t="str">
        <x:v>Valid Palindrome</x:v>
      </x:c>
      <x:c r="D62" s="84" t="str">
        <x:v>Easy</x:v>
      </x:c>
      <x:c r="E62" s="84" t="str">
        <x:v>Two Pointers / String</x:v>
      </x:c>
      <x:c r="F62" s="84" t="str">
        <x:v>P1</x:v>
      </x:c>
      <x:c r="G62" s="84" t="str">
        <x:v>New (counts toward 400)</x:v>
      </x:c>
      <x:c r="H62" s="84" t="str">
        <x:v>Not Started</x:v>
      </x:c>
      <x:c r="I62" s="80" t="str">
        <x:v>Enumerate candidate pairs/segments and compare their values.</x:v>
      </x:c>
      <x:c r="J62" s="80" t="str">
        <x:v>Use sorted order or a monotonic invariant to decide which pointer moves; skip duplicates when needed.</x:v>
      </x:c>
      <x:c r="K62" s="80" t="str">
        <x:v>O(n) to O(n log n)</x:v>
      </x:c>
      <x:c r="L62" s="80" t="str">
        <x:v>O(1) extra excluding output</x:v>
      </x:c>
      <x:c r="M62" s="84" t="n">
        <x:v>0</x:v>
      </x:c>
      <x:c r="N62" s="86"/>
      <x:c r="O62" s="84"/>
      <x:c r="P62" s="86"/>
      <x:c r="Q62" s="80" t="str">
        <x:v>https://leetcode.com/problems/valid-palindrome/</x:v>
      </x:c>
      <x:c r="R62" s="80" t="str"/>
      <x:c r="S62" s="84" t="n">
        <x:f>IF(AND(OR(H62="Solved",H62="Revised"),G62="New (counts toward 400)"),1,0)</x:f>
        <x:v>0</x:v>
      </x:c>
    </x:row>
    <x:row r="63" ht="48" customHeight="1">
      <x:c r="A63" s="84" t="n">
        <x:v>60</x:v>
      </x:c>
      <x:c r="B63" s="84" t="n">
        <x:v>680</x:v>
      </x:c>
      <x:c r="C63" s="80" t="str">
        <x:v>Valid Palindrome II</x:v>
      </x:c>
      <x:c r="D63" s="84" t="str">
        <x:v>Easy</x:v>
      </x:c>
      <x:c r="E63" s="84" t="str">
        <x:v>Two Pointers / String</x:v>
      </x:c>
      <x:c r="F63" s="84" t="str">
        <x:v>P2</x:v>
      </x:c>
      <x:c r="G63" s="84" t="str">
        <x:v>New (counts toward 400)</x:v>
      </x:c>
      <x:c r="H63" s="84" t="str">
        <x:v>Not Started</x:v>
      </x:c>
      <x:c r="I63" s="80" t="str">
        <x:v>Enumerate candidate pairs/segments and compare their values.</x:v>
      </x:c>
      <x:c r="J63" s="80" t="str">
        <x:v>Use sorted order or a monotonic invariant to decide which pointer moves; skip duplicates when needed.</x:v>
      </x:c>
      <x:c r="K63" s="80" t="str">
        <x:v>O(n) to O(n log n)</x:v>
      </x:c>
      <x:c r="L63" s="80" t="str">
        <x:v>O(1) extra excluding output</x:v>
      </x:c>
      <x:c r="M63" s="84" t="n">
        <x:v>0</x:v>
      </x:c>
      <x:c r="N63" s="86"/>
      <x:c r="O63" s="84"/>
      <x:c r="P63" s="86"/>
      <x:c r="Q63" s="80" t="str">
        <x:v>https://leetcode.com/problems/valid-palindrome-ii/</x:v>
      </x:c>
      <x:c r="R63" s="80" t="str"/>
      <x:c r="S63" s="84" t="n">
        <x:f>IF(AND(OR(H63="Solved",H63="Revised"),G63="New (counts toward 400)"),1,0)</x:f>
        <x:v>0</x:v>
      </x:c>
    </x:row>
    <x:row r="64" ht="48" customHeight="1">
      <x:c r="A64" s="84" t="n">
        <x:v>61</x:v>
      </x:c>
      <x:c r="B64" s="84" t="n">
        <x:v>14</x:v>
      </x:c>
      <x:c r="C64" s="80" t="str">
        <x:v>Longest Common Prefix</x:v>
      </x:c>
      <x:c r="D64" s="84" t="str">
        <x:v>Easy</x:v>
      </x:c>
      <x:c r="E64" s="84" t="str">
        <x:v>String</x:v>
      </x:c>
      <x:c r="F64" s="84" t="str">
        <x:v>P2</x:v>
      </x:c>
      <x:c r="G64" s="84" t="str">
        <x:v>New (counts toward 400)</x:v>
      </x:c>
      <x:c r="H64" s="84" t="str">
        <x:v>Not Started</x:v>
      </x:c>
      <x:c r="I64" s="80" t="str">
        <x:v>Compare candidate substrings or repeatedly scan the input to determine the answer.</x:v>
      </x:c>
      <x:c r="J64" s="80" t="str">
        <x:v>Use character counts, a stack, two pointers, or a string-matching invariant suited to the operation.</x:v>
      </x:c>
      <x:c r="K64" s="80" t="str">
        <x:v>O(n) to O(n log n)</x:v>
      </x:c>
      <x:c r="L64" s="80" t="str">
        <x:v>O(n)</x:v>
      </x:c>
      <x:c r="M64" s="84" t="n">
        <x:v>0</x:v>
      </x:c>
      <x:c r="N64" s="86"/>
      <x:c r="O64" s="84"/>
      <x:c r="P64" s="86"/>
      <x:c r="Q64" s="80" t="str">
        <x:v>https://leetcode.com/problems/longest-common-prefix/</x:v>
      </x:c>
      <x:c r="R64" s="80" t="str"/>
      <x:c r="S64" s="84" t="n">
        <x:f>IF(AND(OR(H64="Solved",H64="Revised"),G64="New (counts toward 400)"),1,0)</x:f>
        <x:v>0</x:v>
      </x:c>
    </x:row>
    <x:row r="65" ht="48" customHeight="1">
      <x:c r="A65" s="84" t="n">
        <x:v>62</x:v>
      </x:c>
      <x:c r="B65" s="84" t="n">
        <x:v>28</x:v>
      </x:c>
      <x:c r="C65" s="80" t="str">
        <x:v>Find the Index of the First Occurrence in a String</x:v>
      </x:c>
      <x:c r="D65" s="84" t="str">
        <x:v>Easy</x:v>
      </x:c>
      <x:c r="E65" s="84" t="str">
        <x:v>String Matching</x:v>
      </x:c>
      <x:c r="F65" s="84" t="str">
        <x:v>P2</x:v>
      </x:c>
      <x:c r="G65" s="84" t="str">
        <x:v>New (counts toward 400)</x:v>
      </x:c>
      <x:c r="H65" s="84" t="str">
        <x:v>Not Started</x:v>
      </x:c>
      <x:c r="I65" s="80" t="str">
        <x:v>Compare candidate substrings or repeatedly scan the input to determine the answer.</x:v>
      </x:c>
      <x:c r="J65" s="80" t="str">
        <x:v>Use character counts, a stack, two pointers, or a string-matching invariant suited to the operation.</x:v>
      </x:c>
      <x:c r="K65" s="80" t="str">
        <x:v>O(n) to O(n log n)</x:v>
      </x:c>
      <x:c r="L65" s="80" t="str">
        <x:v>O(n)</x:v>
      </x:c>
      <x:c r="M65" s="84" t="n">
        <x:v>0</x:v>
      </x:c>
      <x:c r="N65" s="86"/>
      <x:c r="O65" s="84"/>
      <x:c r="P65" s="86"/>
      <x:c r="Q65" s="80" t="str">
        <x:v>https://leetcode.com/problems/find-the-index-of-the-first-occurrence-in-a-string/</x:v>
      </x:c>
      <x:c r="R65" s="80" t="str"/>
      <x:c r="S65" s="84" t="n">
        <x:f>IF(AND(OR(H65="Solved",H65="Revised"),G65="New (counts toward 400)"),1,0)</x:f>
        <x:v>0</x:v>
      </x:c>
    </x:row>
    <x:row r="66" ht="48" customHeight="1">
      <x:c r="A66" s="84" t="n">
        <x:v>63</x:v>
      </x:c>
      <x:c r="B66" s="84" t="n">
        <x:v>8</x:v>
      </x:c>
      <x:c r="C66" s="80" t="str">
        <x:v>String to Integer (atoi)</x:v>
      </x:c>
      <x:c r="D66" s="84" t="str">
        <x:v>Medium</x:v>
      </x:c>
      <x:c r="E66" s="84" t="str">
        <x:v>String Parsing</x:v>
      </x:c>
      <x:c r="F66" s="84" t="str">
        <x:v>P2</x:v>
      </x:c>
      <x:c r="G66" s="84" t="str">
        <x:v>New (counts toward 400)</x:v>
      </x:c>
      <x:c r="H66" s="84" t="str">
        <x:v>Not Started</x:v>
      </x:c>
      <x:c r="I66" s="80" t="str">
        <x:v>Compare candidate substrings or repeatedly scan the input to determine the answer.</x:v>
      </x:c>
      <x:c r="J66" s="80" t="str">
        <x:v>Use character counts, a stack, two pointers, or a string-matching invariant suited to the operation.</x:v>
      </x:c>
      <x:c r="K66" s="80" t="str">
        <x:v>O(n) to O(n log n)</x:v>
      </x:c>
      <x:c r="L66" s="80" t="str">
        <x:v>O(n)</x:v>
      </x:c>
      <x:c r="M66" s="84" t="n">
        <x:v>0</x:v>
      </x:c>
      <x:c r="N66" s="86"/>
      <x:c r="O66" s="84"/>
      <x:c r="P66" s="86"/>
      <x:c r="Q66" s="80" t="str">
        <x:v>https://leetcode.com/problems/string-to-integer-atoi/</x:v>
      </x:c>
      <x:c r="R66" s="80" t="str"/>
      <x:c r="S66" s="84" t="n">
        <x:f>IF(AND(OR(H66="Solved",H66="Revised"),G66="New (counts toward 400)"),1,0)</x:f>
        <x:v>0</x:v>
      </x:c>
    </x:row>
    <x:row r="67" ht="48" customHeight="1">
      <x:c r="A67" s="84" t="n">
        <x:v>64</x:v>
      </x:c>
      <x:c r="B67" s="84" t="n">
        <x:v>151</x:v>
      </x:c>
      <x:c r="C67" s="80" t="str">
        <x:v>Reverse Words in a String</x:v>
      </x:c>
      <x:c r="D67" s="84" t="str">
        <x:v>Medium</x:v>
      </x:c>
      <x:c r="E67" s="84" t="str">
        <x:v>String / Two Pointers</x:v>
      </x:c>
      <x:c r="F67" s="84" t="str">
        <x:v>P1</x:v>
      </x:c>
      <x:c r="G67" s="84" t="str">
        <x:v>New (counts toward 400)</x:v>
      </x:c>
      <x:c r="H67" s="84" t="str">
        <x:v>Not Started</x:v>
      </x:c>
      <x:c r="I67" s="80" t="str">
        <x:v>Enumerate candidate pairs/segments and compare their values.</x:v>
      </x:c>
      <x:c r="J67" s="80" t="str">
        <x:v>Use sorted order or a monotonic invariant to decide which pointer moves; skip duplicates when needed.</x:v>
      </x:c>
      <x:c r="K67" s="80" t="str">
        <x:v>O(n) to O(n log n)</x:v>
      </x:c>
      <x:c r="L67" s="80" t="str">
        <x:v>O(1) extra excluding output</x:v>
      </x:c>
      <x:c r="M67" s="84" t="n">
        <x:v>0</x:v>
      </x:c>
      <x:c r="N67" s="86"/>
      <x:c r="O67" s="84"/>
      <x:c r="P67" s="86"/>
      <x:c r="Q67" s="80" t="str">
        <x:v>https://leetcode.com/problems/reverse-words-in-a-string/</x:v>
      </x:c>
      <x:c r="R67" s="80" t="str"/>
      <x:c r="S67" s="84" t="n">
        <x:f>IF(AND(OR(H67="Solved",H67="Revised"),G67="New (counts toward 400)"),1,0)</x:f>
        <x:v>0</x:v>
      </x:c>
    </x:row>
    <x:row r="68" ht="48" customHeight="1">
      <x:c r="A68" s="84" t="n">
        <x:v>65</x:v>
      </x:c>
      <x:c r="B68" s="84" t="n">
        <x:v>12</x:v>
      </x:c>
      <x:c r="C68" s="80" t="str">
        <x:v>Integer to Roman</x:v>
      </x:c>
      <x:c r="D68" s="84" t="str">
        <x:v>Medium</x:v>
      </x:c>
      <x:c r="E68" s="84" t="str">
        <x:v>Greedy / String</x:v>
      </x:c>
      <x:c r="F68" s="84" t="str">
        <x:v>P2</x:v>
      </x:c>
      <x:c r="G68" s="84" t="str">
        <x:v>New (counts toward 400)</x:v>
      </x:c>
      <x:c r="H68" s="84" t="str">
        <x:v>Not Started</x:v>
      </x:c>
      <x:c r="I68" s="80" t="str">
        <x:v>Try multiple selection/order choices or compare each interval with every other interval.</x:v>
      </x:c>
      <x:c r="J68" s="80" t="str">
        <x:v>Sort by the key that exposes feasibility (often start/end), then prove the greedy choice with an invariant.</x:v>
      </x:c>
      <x:c r="K68" s="80" t="str">
        <x:v>O(n log n)</x:v>
      </x:c>
      <x:c r="L68" s="80" t="str">
        <x:v>O(n) output or O(1) extra</x:v>
      </x:c>
      <x:c r="M68" s="84" t="n">
        <x:v>0</x:v>
      </x:c>
      <x:c r="N68" s="86"/>
      <x:c r="O68" s="84"/>
      <x:c r="P68" s="86"/>
      <x:c r="Q68" s="80" t="str">
        <x:v>https://leetcode.com/problems/integer-to-roman/</x:v>
      </x:c>
      <x:c r="R68" s="80" t="str"/>
      <x:c r="S68" s="84" t="n">
        <x:f>IF(AND(OR(H68="Solved",H68="Revised"),G68="New (counts toward 400)"),1,0)</x:f>
        <x:v>0</x:v>
      </x:c>
    </x:row>
    <x:row r="69" ht="48" customHeight="1">
      <x:c r="A69" s="84" t="n">
        <x:v>66</x:v>
      </x:c>
      <x:c r="B69" s="84" t="n">
        <x:v>13</x:v>
      </x:c>
      <x:c r="C69" s="80" t="str">
        <x:v>Roman to Integer</x:v>
      </x:c>
      <x:c r="D69" s="84" t="str">
        <x:v>Easy</x:v>
      </x:c>
      <x:c r="E69" s="84" t="str">
        <x:v>String / Hashing</x:v>
      </x:c>
      <x:c r="F69" s="84" t="str">
        <x:v>P1</x:v>
      </x:c>
      <x:c r="G69" s="84" t="str">
        <x:v>New (counts toward 400)</x:v>
      </x:c>
      <x:c r="H69" s="84" t="str">
        <x:v>Not Started</x:v>
      </x:c>
      <x:c r="I69" s="80" t="str">
        <x:v>Use a simple collection and linearly scan when an operation occurs.</x:v>
      </x:c>
      <x:c r="J69" s="80" t="str">
        <x:v>Select structures to match operations: hash map for lookup, doubly linked list for recency, heap for ordered extraction.</x:v>
      </x:c>
      <x:c r="K69" s="80" t="str">
        <x:v>O(1) average or O(log n) per operation</x:v>
      </x:c>
      <x:c r="L69" s="80" t="str">
        <x:v>O(n)</x:v>
      </x:c>
      <x:c r="M69" s="84" t="n">
        <x:v>0</x:v>
      </x:c>
      <x:c r="N69" s="86"/>
      <x:c r="O69" s="84"/>
      <x:c r="P69" s="86"/>
      <x:c r="Q69" s="80" t="str">
        <x:v>https://leetcode.com/problems/roman-to-integer/</x:v>
      </x:c>
      <x:c r="R69" s="80" t="str"/>
      <x:c r="S69" s="84" t="n">
        <x:f>IF(AND(OR(H69="Solved",H69="Revised"),G69="New (counts toward 400)"),1,0)</x:f>
        <x:v>0</x:v>
      </x:c>
    </x:row>
    <x:row r="70" ht="48" customHeight="1">
      <x:c r="A70" s="84" t="n">
        <x:v>67</x:v>
      </x:c>
      <x:c r="B70" s="84" t="n">
        <x:v>443</x:v>
      </x:c>
      <x:c r="C70" s="80" t="str">
        <x:v>String Compression</x:v>
      </x:c>
      <x:c r="D70" s="84" t="str">
        <x:v>Medium</x:v>
      </x:c>
      <x:c r="E70" s="84" t="str">
        <x:v>Two Pointers / String</x:v>
      </x:c>
      <x:c r="F70" s="84" t="str">
        <x:v>P2</x:v>
      </x:c>
      <x:c r="G70" s="84" t="str">
        <x:v>New (counts toward 400)</x:v>
      </x:c>
      <x:c r="H70" s="84" t="str">
        <x:v>Not Started</x:v>
      </x:c>
      <x:c r="I70" s="80" t="str">
        <x:v>Enumerate candidate pairs/segments and compare their values.</x:v>
      </x:c>
      <x:c r="J70" s="80" t="str">
        <x:v>Use sorted order or a monotonic invariant to decide which pointer moves; skip duplicates when needed.</x:v>
      </x:c>
      <x:c r="K70" s="80" t="str">
        <x:v>O(n) to O(n log n)</x:v>
      </x:c>
      <x:c r="L70" s="80" t="str">
        <x:v>O(1) extra excluding output</x:v>
      </x:c>
      <x:c r="M70" s="84" t="n">
        <x:v>0</x:v>
      </x:c>
      <x:c r="N70" s="86"/>
      <x:c r="O70" s="84"/>
      <x:c r="P70" s="86"/>
      <x:c r="Q70" s="80" t="str">
        <x:v>https://leetcode.com/problems/string-compression/</x:v>
      </x:c>
      <x:c r="R70" s="80" t="str"/>
      <x:c r="S70" s="84" t="n">
        <x:f>IF(AND(OR(H70="Solved",H70="Revised"),G70="New (counts toward 400)"),1,0)</x:f>
        <x:v>0</x:v>
      </x:c>
    </x:row>
    <x:row r="71" ht="48" customHeight="1">
      <x:c r="A71" s="84" t="n">
        <x:v>68</x:v>
      </x:c>
      <x:c r="B71" s="84" t="n">
        <x:v>394</x:v>
      </x:c>
      <x:c r="C71" s="80" t="str">
        <x:v>Decode String</x:v>
      </x:c>
      <x:c r="D71" s="84" t="str">
        <x:v>Medium</x:v>
      </x:c>
      <x:c r="E71" s="84" t="str">
        <x:v>Stack / String</x:v>
      </x:c>
      <x:c r="F71" s="84" t="str">
        <x:v>P1</x:v>
      </x:c>
      <x:c r="G71" s="84" t="str">
        <x:v>New (counts toward 400)</x:v>
      </x:c>
      <x:c r="H71" s="84" t="str">
        <x:v>Not Started</x:v>
      </x:c>
      <x:c r="I71" s="80" t="str">
        <x:v>Repeatedly find and expand innermost bracketed segments.</x:v>
      </x:c>
      <x:c r="J71" s="80" t="str">
        <x:v>Use stacks for prior prefixes and repeat counts; expand a segment when its closing bracket is reached.</x:v>
      </x:c>
      <x:c r="K71" s="80" t="str">
        <x:v>O(output length)</x:v>
      </x:c>
      <x:c r="L71" s="80" t="str">
        <x:v>O(output length)</x:v>
      </x:c>
      <x:c r="M71" s="84" t="n">
        <x:v>0</x:v>
      </x:c>
      <x:c r="N71" s="86"/>
      <x:c r="O71" s="84"/>
      <x:c r="P71" s="86"/>
      <x:c r="Q71" s="80" t="str">
        <x:v>https://leetcode.com/problems/decode-string/</x:v>
      </x:c>
      <x:c r="R71" s="80" t="str"/>
      <x:c r="S71" s="84" t="n">
        <x:f>IF(AND(OR(H71="Solved",H71="Revised"),G71="New (counts toward 400)"),1,0)</x:f>
        <x:v>0</x:v>
      </x:c>
    </x:row>
    <x:row r="72" ht="48" customHeight="1">
      <x:c r="A72" s="84" t="n">
        <x:v>69</x:v>
      </x:c>
      <x:c r="B72" s="84" t="n">
        <x:v>71</x:v>
      </x:c>
      <x:c r="C72" s="80" t="str">
        <x:v>Simplify Path</x:v>
      </x:c>
      <x:c r="D72" s="84" t="str">
        <x:v>Medium</x:v>
      </x:c>
      <x:c r="E72" s="84" t="str">
        <x:v>Stack / String</x:v>
      </x:c>
      <x:c r="F72" s="84" t="str">
        <x:v>P2</x:v>
      </x:c>
      <x:c r="G72" s="84" t="str">
        <x:v>New (counts toward 400)</x:v>
      </x:c>
      <x:c r="H72" s="84" t="str">
        <x:v>Not Started</x:v>
      </x:c>
      <x:c r="I72" s="80" t="str">
        <x:v>Repeatedly sort remaining candidates or rescan prior elements for each answer.</x:v>
      </x:c>
      <x:c r="J72" s="80" t="str">
        <x:v>Use a heap for dynamic min/max or top-k; use a monotonic stack/deque for next-greater/smaller or sliding extrema.</x:v>
      </x:c>
      <x:c r="K72" s="80" t="str">
        <x:v>O(n log k) or O(n)</x:v>
      </x:c>
      <x:c r="L72" s="80" t="str">
        <x:v>O(n) typical</x:v>
      </x:c>
      <x:c r="M72" s="84" t="n">
        <x:v>0</x:v>
      </x:c>
      <x:c r="N72" s="86"/>
      <x:c r="O72" s="84"/>
      <x:c r="P72" s="86"/>
      <x:c r="Q72" s="80" t="str">
        <x:v>https://leetcode.com/problems/simplify-path/</x:v>
      </x:c>
      <x:c r="R72" s="80" t="str"/>
      <x:c r="S72" s="84" t="n">
        <x:f>IF(AND(OR(H72="Solved",H72="Revised"),G72="New (counts toward 400)"),1,0)</x:f>
        <x:v>0</x:v>
      </x:c>
    </x:row>
    <x:row r="73" ht="48" customHeight="1">
      <x:c r="A73" s="84" t="n">
        <x:v>70</x:v>
      </x:c>
      <x:c r="B73" s="84" t="n">
        <x:v>227</x:v>
      </x:c>
      <x:c r="C73" s="80" t="str">
        <x:v>Basic Calculator II</x:v>
      </x:c>
      <x:c r="D73" s="84" t="str">
        <x:v>Medium</x:v>
      </x:c>
      <x:c r="E73" s="84" t="str">
        <x:v>Stack / Parsing</x:v>
      </x:c>
      <x:c r="F73" s="84" t="str">
        <x:v>P1</x:v>
      </x:c>
      <x:c r="G73" s="84" t="str">
        <x:v>New (counts toward 400)</x:v>
      </x:c>
      <x:c r="H73" s="84" t="str">
        <x:v>Not Started</x:v>
      </x:c>
      <x:c r="I73" s="80" t="str">
        <x:v>Repeatedly sort remaining candidates or rescan prior elements for each answer.</x:v>
      </x:c>
      <x:c r="J73" s="80" t="str">
        <x:v>Use a heap for dynamic min/max or top-k; use a monotonic stack/deque for next-greater/smaller or sliding extrema.</x:v>
      </x:c>
      <x:c r="K73" s="80" t="str">
        <x:v>O(n log k) or O(n)</x:v>
      </x:c>
      <x:c r="L73" s="80" t="str">
        <x:v>O(n) typical</x:v>
      </x:c>
      <x:c r="M73" s="84" t="n">
        <x:v>0</x:v>
      </x:c>
      <x:c r="N73" s="86"/>
      <x:c r="O73" s="84"/>
      <x:c r="P73" s="86"/>
      <x:c r="Q73" s="80" t="str">
        <x:v>https://leetcode.com/problems/basic-calculator-ii/</x:v>
      </x:c>
      <x:c r="R73" s="80" t="str"/>
      <x:c r="S73" s="84" t="n">
        <x:f>IF(AND(OR(H73="Solved",H73="Revised"),G73="New (counts toward 400)"),1,0)</x:f>
        <x:v>0</x:v>
      </x:c>
    </x:row>
    <x:row r="74" ht="48" customHeight="1">
      <x:c r="A74" s="84" t="n">
        <x:v>71</x:v>
      </x:c>
      <x:c r="B74" s="84" t="n">
        <x:v>224</x:v>
      </x:c>
      <x:c r="C74" s="80" t="str">
        <x:v>Basic Calculator</x:v>
      </x:c>
      <x:c r="D74" s="84" t="str">
        <x:v>Hard</x:v>
      </x:c>
      <x:c r="E74" s="84" t="str">
        <x:v>Stack / Parsing</x:v>
      </x:c>
      <x:c r="F74" s="84" t="str">
        <x:v>P2</x:v>
      </x:c>
      <x:c r="G74" s="84" t="str">
        <x:v>New (counts toward 400)</x:v>
      </x:c>
      <x:c r="H74" s="84" t="str">
        <x:v>Not Started</x:v>
      </x:c>
      <x:c r="I74" s="80" t="str">
        <x:v>Repeatedly sort remaining candidates or rescan prior elements for each answer.</x:v>
      </x:c>
      <x:c r="J74" s="80" t="str">
        <x:v>Use a heap for dynamic min/max or top-k; use a monotonic stack/deque for next-greater/smaller or sliding extrema.</x:v>
      </x:c>
      <x:c r="K74" s="80" t="str">
        <x:v>O(n log k) or O(n)</x:v>
      </x:c>
      <x:c r="L74" s="80" t="str">
        <x:v>O(n) typical</x:v>
      </x:c>
      <x:c r="M74" s="84" t="n">
        <x:v>0</x:v>
      </x:c>
      <x:c r="N74" s="86"/>
      <x:c r="O74" s="84"/>
      <x:c r="P74" s="86"/>
      <x:c r="Q74" s="80" t="str">
        <x:v>https://leetcode.com/problems/basic-calculator/</x:v>
      </x:c>
      <x:c r="R74" s="80" t="str"/>
      <x:c r="S74" s="84" t="n">
        <x:f>IF(AND(OR(H74="Solved",H74="Revised"),G74="New (counts toward 400)"),1,0)</x:f>
        <x:v>0</x:v>
      </x:c>
    </x:row>
    <x:row r="75" ht="48" customHeight="1">
      <x:c r="A75" s="84" t="n">
        <x:v>72</x:v>
      </x:c>
      <x:c r="B75" s="84" t="n">
        <x:v>1249</x:v>
      </x:c>
      <x:c r="C75" s="80" t="str">
        <x:v>Minimum Remove to Make Valid Parentheses</x:v>
      </x:c>
      <x:c r="D75" s="84" t="str">
        <x:v>Medium</x:v>
      </x:c>
      <x:c r="E75" s="84" t="str">
        <x:v>Stack / String</x:v>
      </x:c>
      <x:c r="F75" s="84" t="str">
        <x:v>P1</x:v>
      </x:c>
      <x:c r="G75" s="84" t="str">
        <x:v>New (counts toward 400)</x:v>
      </x:c>
      <x:c r="H75" s="84" t="str">
        <x:v>Not Started</x:v>
      </x:c>
      <x:c r="I75" s="80" t="str">
        <x:v>Repeatedly sort remaining candidates or rescan prior elements for each answer.</x:v>
      </x:c>
      <x:c r="J75" s="80" t="str">
        <x:v>Use a heap for dynamic min/max or top-k; use a monotonic stack/deque for next-greater/smaller or sliding extrema.</x:v>
      </x:c>
      <x:c r="K75" s="80" t="str">
        <x:v>O(n log k) or O(n)</x:v>
      </x:c>
      <x:c r="L75" s="80" t="str">
        <x:v>O(n) typical</x:v>
      </x:c>
      <x:c r="M75" s="84" t="n">
        <x:v>0</x:v>
      </x:c>
      <x:c r="N75" s="86"/>
      <x:c r="O75" s="84"/>
      <x:c r="P75" s="86"/>
      <x:c r="Q75" s="80" t="str">
        <x:v>https://leetcode.com/problems/minimum-remove-to-make-valid-parentheses/</x:v>
      </x:c>
      <x:c r="R75" s="80" t="str"/>
      <x:c r="S75" s="84" t="n">
        <x:f>IF(AND(OR(H75="Solved",H75="Revised"),G75="New (counts toward 400)"),1,0)</x:f>
        <x:v>0</x:v>
      </x:c>
    </x:row>
    <x:row r="76" ht="48" customHeight="1">
      <x:c r="A76" s="84" t="n">
        <x:v>73</x:v>
      </x:c>
      <x:c r="B76" s="84" t="n">
        <x:v>20</x:v>
      </x:c>
      <x:c r="C76" s="80" t="str">
        <x:v>Valid Parentheses</x:v>
      </x:c>
      <x:c r="D76" s="84" t="str">
        <x:v>Easy</x:v>
      </x:c>
      <x:c r="E76" s="84" t="str">
        <x:v>Stack</x:v>
      </x:c>
      <x:c r="F76" s="84" t="str">
        <x:v>P1</x:v>
      </x:c>
      <x:c r="G76" s="84" t="str">
        <x:v>New (counts toward 400)</x:v>
      </x:c>
      <x:c r="H76" s="84" t="str">
        <x:v>Not Started</x:v>
      </x:c>
      <x:c r="I76" s="80" t="str">
        <x:v>Search for matching pairs while checking nesting.</x:v>
      </x:c>
      <x:c r="J76" s="80" t="str">
        <x:v>Stack opening brackets; each closing bracket must match the top.</x:v>
      </x:c>
      <x:c r="K76" s="80" t="str">
        <x:v>O(n)</x:v>
      </x:c>
      <x:c r="L76" s="80" t="str">
        <x:v>O(n)</x:v>
      </x:c>
      <x:c r="M76" s="84" t="n">
        <x:v>0</x:v>
      </x:c>
      <x:c r="N76" s="86"/>
      <x:c r="O76" s="84"/>
      <x:c r="P76" s="86"/>
      <x:c r="Q76" s="80" t="str">
        <x:v>https://leetcode.com/problems/valid-parentheses/</x:v>
      </x:c>
      <x:c r="R76" s="80" t="str"/>
      <x:c r="S76" s="84" t="n">
        <x:f>IF(AND(OR(H76="Solved",H76="Revised"),G76="New (counts toward 400)"),1,0)</x:f>
        <x:v>0</x:v>
      </x:c>
    </x:row>
    <x:row r="77" ht="48" customHeight="1">
      <x:c r="A77" s="84" t="n">
        <x:v>74</x:v>
      </x:c>
      <x:c r="B77" s="84" t="n">
        <x:v>32</x:v>
      </x:c>
      <x:c r="C77" s="80" t="str">
        <x:v>Longest Valid Parentheses</x:v>
      </x:c>
      <x:c r="D77" s="84" t="str">
        <x:v>Hard</x:v>
      </x:c>
      <x:c r="E77" s="84" t="str">
        <x:v>Stack / DP</x:v>
      </x:c>
      <x:c r="F77" s="84" t="str">
        <x:v>P2</x:v>
      </x:c>
      <x:c r="G77" s="84" t="str">
        <x:v>New (counts toward 400)</x:v>
      </x:c>
      <x:c r="H77" s="84" t="str">
        <x:v>Not Started</x:v>
      </x:c>
      <x:c r="I77" s="80" t="str">
        <x:v>Express choices recursively without memoization; repeated subproblems can make this exponential.</x:v>
      </x:c>
      <x:c r="J77" s="80" t="str">
        <x:v>Define state, base cases, and transition; memoize, then tabulate and compress dimensions if dependencies allow.</x:v>
      </x:c>
      <x:c r="K77" s="80" t="str">
        <x:v>O(states × transitions)</x:v>
      </x:c>
      <x:c r="L77" s="80" t="str">
        <x:v>O(number of states)</x:v>
      </x:c>
      <x:c r="M77" s="84" t="n">
        <x:v>0</x:v>
      </x:c>
      <x:c r="N77" s="86"/>
      <x:c r="O77" s="84"/>
      <x:c r="P77" s="86"/>
      <x:c r="Q77" s="80" t="str">
        <x:v>https://leetcode.com/problems/longest-valid-parentheses/</x:v>
      </x:c>
      <x:c r="R77" s="80" t="str"/>
      <x:c r="S77" s="84" t="n">
        <x:f>IF(AND(OR(H77="Solved",H77="Revised"),G77="New (counts toward 400)"),1,0)</x:f>
        <x:v>0</x:v>
      </x:c>
    </x:row>
    <x:row r="78" ht="48" customHeight="1">
      <x:c r="A78" s="84" t="n">
        <x:v>75</x:v>
      </x:c>
      <x:c r="B78" s="84" t="n">
        <x:v>22</x:v>
      </x:c>
      <x:c r="C78" s="80" t="str">
        <x:v>Generate Parentheses</x:v>
      </x:c>
      <x:c r="D78" s="84" t="str">
        <x:v>Medium</x:v>
      </x:c>
      <x:c r="E78" s="84" t="str">
        <x:v>Backtracking</x:v>
      </x:c>
      <x:c r="F78" s="84" t="str">
        <x:v>P1</x:v>
      </x:c>
      <x:c r="G78" s="84" t="str">
        <x:v>New (counts toward 400)</x:v>
      </x:c>
      <x:c r="H78" s="84" t="str">
        <x:v>Not Started</x:v>
      </x:c>
      <x:c r="I78" s="80" t="str">
        <x:v>Generate every choice sequence and validate completed candidates.</x:v>
      </x:c>
      <x:c r="J78" s="80" t="str">
        <x:v>Use choose→explore→unchoose, prune invalid partial states early, and skip duplicate choices at the same depth.</x:v>
      </x:c>
      <x:c r="K78" s="80" t="str">
        <x:v>Exponential / output-sensitive</x:v>
      </x:c>
      <x:c r="L78" s="80" t="str">
        <x:v>O(depth) plus output</x:v>
      </x:c>
      <x:c r="M78" s="84" t="n">
        <x:v>0</x:v>
      </x:c>
      <x:c r="N78" s="86"/>
      <x:c r="O78" s="84"/>
      <x:c r="P78" s="86"/>
      <x:c r="Q78" s="80" t="str">
        <x:v>https://leetcode.com/problems/generate-parentheses/</x:v>
      </x:c>
      <x:c r="R78" s="80" t="str"/>
      <x:c r="S78" s="84" t="n">
        <x:f>IF(AND(OR(H78="Solved",H78="Revised"),G78="New (counts toward 400)"),1,0)</x:f>
        <x:v>0</x:v>
      </x:c>
    </x:row>
    <x:row r="79" ht="48" customHeight="1">
      <x:c r="A79" s="84" t="n">
        <x:v>76</x:v>
      </x:c>
      <x:c r="B79" s="84" t="n">
        <x:v>415</x:v>
      </x:c>
      <x:c r="C79" s="80" t="str">
        <x:v>Add Strings</x:v>
      </x:c>
      <x:c r="D79" s="84" t="str">
        <x:v>Easy</x:v>
      </x:c>
      <x:c r="E79" s="84" t="str">
        <x:v>String Arithmetic</x:v>
      </x:c>
      <x:c r="F79" s="84" t="str">
        <x:v>P3</x:v>
      </x:c>
      <x:c r="G79" s="84" t="str">
        <x:v>New (counts toward 400)</x:v>
      </x:c>
      <x:c r="H79" s="84" t="str">
        <x:v>Not Started</x:v>
      </x:c>
      <x:c r="I79" s="80" t="str">
        <x:v>Compare candidate substrings or repeatedly scan the input to determine the answer.</x:v>
      </x:c>
      <x:c r="J79" s="80" t="str">
        <x:v>Use character counts, a stack, two pointers, or a string-matching invariant suited to the operation.</x:v>
      </x:c>
      <x:c r="K79" s="80" t="str">
        <x:v>O(n) to O(n log n)</x:v>
      </x:c>
      <x:c r="L79" s="80" t="str">
        <x:v>O(n)</x:v>
      </x:c>
      <x:c r="M79" s="84" t="n">
        <x:v>0</x:v>
      </x:c>
      <x:c r="N79" s="86"/>
      <x:c r="O79" s="84"/>
      <x:c r="P79" s="86"/>
      <x:c r="Q79" s="80" t="str">
        <x:v>https://leetcode.com/problems/add-strings/</x:v>
      </x:c>
      <x:c r="R79" s="80" t="str"/>
      <x:c r="S79" s="84" t="n">
        <x:f>IF(AND(OR(H79="Solved",H79="Revised"),G79="New (counts toward 400)"),1,0)</x:f>
        <x:v>0</x:v>
      </x:c>
    </x:row>
    <x:row r="80" ht="48" customHeight="1">
      <x:c r="A80" s="84" t="n">
        <x:v>77</x:v>
      </x:c>
      <x:c r="B80" s="84" t="n">
        <x:v>43</x:v>
      </x:c>
      <x:c r="C80" s="80" t="str">
        <x:v>Multiply Strings</x:v>
      </x:c>
      <x:c r="D80" s="84" t="str">
        <x:v>Medium</x:v>
      </x:c>
      <x:c r="E80" s="84" t="str">
        <x:v>String Arithmetic</x:v>
      </x:c>
      <x:c r="F80" s="84" t="str">
        <x:v>P2</x:v>
      </x:c>
      <x:c r="G80" s="84" t="str">
        <x:v>New (counts toward 400)</x:v>
      </x:c>
      <x:c r="H80" s="84" t="str">
        <x:v>Not Started</x:v>
      </x:c>
      <x:c r="I80" s="80" t="str">
        <x:v>Compare candidate substrings or repeatedly scan the input to determine the answer.</x:v>
      </x:c>
      <x:c r="J80" s="80" t="str">
        <x:v>Use character counts, a stack, two pointers, or a string-matching invariant suited to the operation.</x:v>
      </x:c>
      <x:c r="K80" s="80" t="str">
        <x:v>O(n) to O(n log n)</x:v>
      </x:c>
      <x:c r="L80" s="80" t="str">
        <x:v>O(n)</x:v>
      </x:c>
      <x:c r="M80" s="84" t="n">
        <x:v>0</x:v>
      </x:c>
      <x:c r="N80" s="86"/>
      <x:c r="O80" s="84"/>
      <x:c r="P80" s="86"/>
      <x:c r="Q80" s="80" t="str">
        <x:v>https://leetcode.com/problems/multiply-strings/</x:v>
      </x:c>
      <x:c r="R80" s="80" t="str"/>
      <x:c r="S80" s="84" t="n">
        <x:f>IF(AND(OR(H80="Solved",H80="Revised"),G80="New (counts toward 400)"),1,0)</x:f>
        <x:v>0</x:v>
      </x:c>
    </x:row>
    <x:row r="81" ht="48" customHeight="1">
      <x:c r="A81" s="84" t="n">
        <x:v>78</x:v>
      </x:c>
      <x:c r="B81" s="84" t="n">
        <x:v>165</x:v>
      </x:c>
      <x:c r="C81" s="80" t="str">
        <x:v>Compare Version Numbers</x:v>
      </x:c>
      <x:c r="D81" s="84" t="str">
        <x:v>Medium</x:v>
      </x:c>
      <x:c r="E81" s="84" t="str">
        <x:v>String Parsing</x:v>
      </x:c>
      <x:c r="F81" s="84" t="str">
        <x:v>P2</x:v>
      </x:c>
      <x:c r="G81" s="84" t="str">
        <x:v>New (counts toward 400)</x:v>
      </x:c>
      <x:c r="H81" s="84" t="str">
        <x:v>Not Started</x:v>
      </x:c>
      <x:c r="I81" s="80" t="str">
        <x:v>Compare candidate substrings or repeatedly scan the input to determine the answer.</x:v>
      </x:c>
      <x:c r="J81" s="80" t="str">
        <x:v>Use character counts, a stack, two pointers, or a string-matching invariant suited to the operation.</x:v>
      </x:c>
      <x:c r="K81" s="80" t="str">
        <x:v>O(n) to O(n log n)</x:v>
      </x:c>
      <x:c r="L81" s="80" t="str">
        <x:v>O(n)</x:v>
      </x:c>
      <x:c r="M81" s="84" t="n">
        <x:v>0</x:v>
      </x:c>
      <x:c r="N81" s="86"/>
      <x:c r="O81" s="84"/>
      <x:c r="P81" s="86"/>
      <x:c r="Q81" s="80" t="str">
        <x:v>https://leetcode.com/problems/compare-version-numbers/</x:v>
      </x:c>
      <x:c r="R81" s="80" t="str"/>
      <x:c r="S81" s="84" t="n">
        <x:f>IF(AND(OR(H81="Solved",H81="Revised"),G81="New (counts toward 400)"),1,0)</x:f>
        <x:v>0</x:v>
      </x:c>
    </x:row>
    <x:row r="82" ht="48" customHeight="1">
      <x:c r="A82" s="84" t="n">
        <x:v>79</x:v>
      </x:c>
      <x:c r="B82" s="84" t="n">
        <x:v>205</x:v>
      </x:c>
      <x:c r="C82" s="80" t="str">
        <x:v>Isomorphic Strings</x:v>
      </x:c>
      <x:c r="D82" s="84" t="str">
        <x:v>Easy</x:v>
      </x:c>
      <x:c r="E82" s="84" t="str">
        <x:v>Hashing / String</x:v>
      </x:c>
      <x:c r="F82" s="84" t="str">
        <x:v>P2</x:v>
      </x:c>
      <x:c r="G82" s="84" t="str">
        <x:v>New (counts toward 400)</x:v>
      </x:c>
      <x:c r="H82" s="84" t="str">
        <x:v>Not Started</x:v>
      </x:c>
      <x:c r="I82" s="80" t="str">
        <x:v>Use a simple collection and linearly scan when an operation occurs.</x:v>
      </x:c>
      <x:c r="J82" s="80" t="str">
        <x:v>Select structures to match operations: hash map for lookup, doubly linked list for recency, heap for ordered extraction.</x:v>
      </x:c>
      <x:c r="K82" s="80" t="str">
        <x:v>O(1) average or O(log n) per operation</x:v>
      </x:c>
      <x:c r="L82" s="80" t="str">
        <x:v>O(n)</x:v>
      </x:c>
      <x:c r="M82" s="84" t="n">
        <x:v>0</x:v>
      </x:c>
      <x:c r="N82" s="86"/>
      <x:c r="O82" s="84"/>
      <x:c r="P82" s="86"/>
      <x:c r="Q82" s="80" t="str">
        <x:v>https://leetcode.com/problems/isomorphic-strings/</x:v>
      </x:c>
      <x:c r="R82" s="80" t="str"/>
      <x:c r="S82" s="84" t="n">
        <x:f>IF(AND(OR(H82="Solved",H82="Revised"),G82="New (counts toward 400)"),1,0)</x:f>
        <x:v>0</x:v>
      </x:c>
    </x:row>
    <x:row r="83" ht="48" customHeight="1">
      <x:c r="A83" s="84" t="n">
        <x:v>80</x:v>
      </x:c>
      <x:c r="B83" s="84" t="n">
        <x:v>290</x:v>
      </x:c>
      <x:c r="C83" s="80" t="str">
        <x:v>Word Pattern</x:v>
      </x:c>
      <x:c r="D83" s="84" t="str">
        <x:v>Easy</x:v>
      </x:c>
      <x:c r="E83" s="84" t="str">
        <x:v>Hashing / String</x:v>
      </x:c>
      <x:c r="F83" s="84" t="str">
        <x:v>P2</x:v>
      </x:c>
      <x:c r="G83" s="84" t="str">
        <x:v>New (counts toward 400)</x:v>
      </x:c>
      <x:c r="H83" s="84" t="str">
        <x:v>Not Started</x:v>
      </x:c>
      <x:c r="I83" s="80" t="str">
        <x:v>Use a simple collection and linearly scan when an operation occurs.</x:v>
      </x:c>
      <x:c r="J83" s="80" t="str">
        <x:v>Select structures to match operations: hash map for lookup, doubly linked list for recency, heap for ordered extraction.</x:v>
      </x:c>
      <x:c r="K83" s="80" t="str">
        <x:v>O(1) average or O(log n) per operation</x:v>
      </x:c>
      <x:c r="L83" s="80" t="str">
        <x:v>O(n)</x:v>
      </x:c>
      <x:c r="M83" s="84" t="n">
        <x:v>0</x:v>
      </x:c>
      <x:c r="N83" s="86"/>
      <x:c r="O83" s="84"/>
      <x:c r="P83" s="86"/>
      <x:c r="Q83" s="80" t="str">
        <x:v>https://leetcode.com/problems/word-pattern/</x:v>
      </x:c>
      <x:c r="R83" s="80" t="str"/>
      <x:c r="S83" s="84" t="n">
        <x:f>IF(AND(OR(H83="Solved",H83="Revised"),G83="New (counts toward 400)"),1,0)</x:f>
        <x:v>0</x:v>
      </x:c>
    </x:row>
    <x:row r="84" ht="48" customHeight="1">
      <x:c r="A84" s="84" t="n">
        <x:v>81</x:v>
      </x:c>
      <x:c r="B84" s="84" t="n">
        <x:v>387</x:v>
      </x:c>
      <x:c r="C84" s="80" t="str">
        <x:v>First Unique Character in a String</x:v>
      </x:c>
      <x:c r="D84" s="84" t="str">
        <x:v>Easy</x:v>
      </x:c>
      <x:c r="E84" s="84" t="str">
        <x:v>Hashing / String</x:v>
      </x:c>
      <x:c r="F84" s="84" t="str">
        <x:v>P2</x:v>
      </x:c>
      <x:c r="G84" s="84" t="str">
        <x:v>New (counts toward 400)</x:v>
      </x:c>
      <x:c r="H84" s="84" t="str">
        <x:v>Not Started</x:v>
      </x:c>
      <x:c r="I84" s="80" t="str">
        <x:v>Use a simple collection and linearly scan when an operation occurs.</x:v>
      </x:c>
      <x:c r="J84" s="80" t="str">
        <x:v>Select structures to match operations: hash map for lookup, doubly linked list for recency, heap for ordered extraction.</x:v>
      </x:c>
      <x:c r="K84" s="80" t="str">
        <x:v>O(1) average or O(log n) per operation</x:v>
      </x:c>
      <x:c r="L84" s="80" t="str">
        <x:v>O(n)</x:v>
      </x:c>
      <x:c r="M84" s="84" t="n">
        <x:v>0</x:v>
      </x:c>
      <x:c r="N84" s="86"/>
      <x:c r="O84" s="84"/>
      <x:c r="P84" s="86"/>
      <x:c r="Q84" s="80" t="str">
        <x:v>https://leetcode.com/problems/first-unique-character-in-a-string/</x:v>
      </x:c>
      <x:c r="R84" s="80" t="str"/>
      <x:c r="S84" s="84" t="n">
        <x:f>IF(AND(OR(H84="Solved",H84="Revised"),G84="New (counts toward 400)"),1,0)</x:f>
        <x:v>0</x:v>
      </x:c>
    </x:row>
    <x:row r="85" ht="48" customHeight="1">
      <x:c r="A85" s="84" t="n">
        <x:v>82</x:v>
      </x:c>
      <x:c r="B85" s="84" t="n">
        <x:v>409</x:v>
      </x:c>
      <x:c r="C85" s="80" t="str">
        <x:v>Longest Palindrome</x:v>
      </x:c>
      <x:c r="D85" s="84" t="str">
        <x:v>Easy</x:v>
      </x:c>
      <x:c r="E85" s="84" t="str">
        <x:v>Hashing / String</x:v>
      </x:c>
      <x:c r="F85" s="84" t="str">
        <x:v>P2</x:v>
      </x:c>
      <x:c r="G85" s="84" t="str">
        <x:v>New (counts toward 400)</x:v>
      </x:c>
      <x:c r="H85" s="84" t="str">
        <x:v>Not Started</x:v>
      </x:c>
      <x:c r="I85" s="80" t="str">
        <x:v>Use a simple collection and linearly scan when an operation occurs.</x:v>
      </x:c>
      <x:c r="J85" s="80" t="str">
        <x:v>Select structures to match operations: hash map for lookup, doubly linked list for recency, heap for ordered extraction.</x:v>
      </x:c>
      <x:c r="K85" s="80" t="str">
        <x:v>O(1) average or O(log n) per operation</x:v>
      </x:c>
      <x:c r="L85" s="80" t="str">
        <x:v>O(n)</x:v>
      </x:c>
      <x:c r="M85" s="84" t="n">
        <x:v>0</x:v>
      </x:c>
      <x:c r="N85" s="86"/>
      <x:c r="O85" s="84"/>
      <x:c r="P85" s="86"/>
      <x:c r="Q85" s="80" t="str">
        <x:v>https://leetcode.com/problems/longest-palindrome/</x:v>
      </x:c>
      <x:c r="R85" s="80" t="str"/>
      <x:c r="S85" s="84" t="n">
        <x:f>IF(AND(OR(H85="Solved",H85="Revised"),G85="New (counts toward 400)"),1,0)</x:f>
        <x:v>0</x:v>
      </x:c>
    </x:row>
    <x:row r="86" ht="48" customHeight="1">
      <x:c r="A86" s="84" t="n">
        <x:v>83</x:v>
      </x:c>
      <x:c r="B86" s="84" t="n">
        <x:v>2</x:v>
      </x:c>
      <x:c r="C86" s="80" t="str">
        <x:v>Add Two Numbers</x:v>
      </x:c>
      <x:c r="D86" s="84" t="str">
        <x:v>Medium</x:v>
      </x:c>
      <x:c r="E86" s="84" t="str">
        <x:v>Linked List</x:v>
      </x:c>
      <x:c r="F86" s="84" t="str">
        <x:v>P1</x:v>
      </x:c>
      <x:c r="G86" s="84" t="str">
        <x:v>New (counts toward 400)</x:v>
      </x:c>
      <x:c r="H86" s="84" t="str">
        <x:v>Not Started</x:v>
      </x:c>
      <x:c r="I86" s="80" t="str">
        <x:v>Use repeated scans or extra containers to locate and organize nodes.</x:v>
      </x:c>
      <x:c r="J86" s="80" t="str">
        <x:v>Use a dummy node, careful pointer rewiring, and/or fast-slow pointers; save next before rewiring.</x:v>
      </x:c>
      <x:c r="K86" s="80" t="str">
        <x:v>O(n) typical</x:v>
      </x:c>
      <x:c r="L86" s="80" t="str">
        <x:v>O(1) extra when possible</x:v>
      </x:c>
      <x:c r="M86" s="84" t="n">
        <x:v>0</x:v>
      </x:c>
      <x:c r="N86" s="86"/>
      <x:c r="O86" s="84"/>
      <x:c r="P86" s="86"/>
      <x:c r="Q86" s="80" t="str">
        <x:v>https://leetcode.com/problems/add-two-numbers/</x:v>
      </x:c>
      <x:c r="R86" s="80" t="str"/>
      <x:c r="S86" s="84" t="n">
        <x:f>IF(AND(OR(H86="Solved",H86="Revised"),G86="New (counts toward 400)"),1,0)</x:f>
        <x:v>0</x:v>
      </x:c>
    </x:row>
    <x:row r="87" ht="48" customHeight="1">
      <x:c r="A87" s="84" t="n">
        <x:v>84</x:v>
      </x:c>
      <x:c r="B87" s="84" t="n">
        <x:v>21</x:v>
      </x:c>
      <x:c r="C87" s="80" t="str">
        <x:v>Merge Two Sorted Lists</x:v>
      </x:c>
      <x:c r="D87" s="84" t="str">
        <x:v>Easy</x:v>
      </x:c>
      <x:c r="E87" s="84" t="str">
        <x:v>Linked List</x:v>
      </x:c>
      <x:c r="F87" s="84" t="str">
        <x:v>P1</x:v>
      </x:c>
      <x:c r="G87" s="84" t="str">
        <x:v>New (counts toward 400)</x:v>
      </x:c>
      <x:c r="H87" s="84" t="str">
        <x:v>Not Started</x:v>
      </x:c>
      <x:c r="I87" s="80" t="str">
        <x:v>Collect all values, sort, and rebuild.</x:v>
      </x:c>
      <x:c r="J87" s="80" t="str">
        <x:v>Use a dummy head and append the smaller current node; attach the remainder.</x:v>
      </x:c>
      <x:c r="K87" s="80" t="str">
        <x:v>O(m+n)</x:v>
      </x:c>
      <x:c r="L87" s="80" t="str">
        <x:v>O(1) extra</x:v>
      </x:c>
      <x:c r="M87" s="84" t="n">
        <x:v>0</x:v>
      </x:c>
      <x:c r="N87" s="86"/>
      <x:c r="O87" s="84"/>
      <x:c r="P87" s="86"/>
      <x:c r="Q87" s="80" t="str">
        <x:v>https://leetcode.com/problems/merge-two-sorted-lists/</x:v>
      </x:c>
      <x:c r="R87" s="80" t="str"/>
      <x:c r="S87" s="84" t="n">
        <x:f>IF(AND(OR(H87="Solved",H87="Revised"),G87="New (counts toward 400)"),1,0)</x:f>
        <x:v>0</x:v>
      </x:c>
    </x:row>
    <x:row r="88" ht="48" customHeight="1">
      <x:c r="A88" s="84" t="n">
        <x:v>85</x:v>
      </x:c>
      <x:c r="B88" s="84" t="n">
        <x:v>206</x:v>
      </x:c>
      <x:c r="C88" s="80" t="str">
        <x:v>Reverse Linked List</x:v>
      </x:c>
      <x:c r="D88" s="84" t="str">
        <x:v>Easy</x:v>
      </x:c>
      <x:c r="E88" s="84" t="str">
        <x:v>Linked List</x:v>
      </x:c>
      <x:c r="F88" s="84" t="str">
        <x:v>P1</x:v>
      </x:c>
      <x:c r="G88" s="84" t="str">
        <x:v>New (counts toward 400)</x:v>
      </x:c>
      <x:c r="H88" s="84" t="str">
        <x:v>Not Started</x:v>
      </x:c>
      <x:c r="I88" s="80" t="str">
        <x:v>Use an auxiliary array/list or repeatedly find the next node.</x:v>
      </x:c>
      <x:c r="J88" s="80" t="str">
        <x:v>Iteratively redirect next pointers with prev/current/next; one pass, O(1) extra.</x:v>
      </x:c>
      <x:c r="K88" s="80" t="str">
        <x:v>O(n)</x:v>
      </x:c>
      <x:c r="L88" s="80" t="str">
        <x:v>O(1)</x:v>
      </x:c>
      <x:c r="M88" s="84" t="n">
        <x:v>0</x:v>
      </x:c>
      <x:c r="N88" s="86"/>
      <x:c r="O88" s="84"/>
      <x:c r="P88" s="86"/>
      <x:c r="Q88" s="80" t="str">
        <x:v>https://leetcode.com/problems/reverse-linked-list/</x:v>
      </x:c>
      <x:c r="R88" s="80" t="str"/>
      <x:c r="S88" s="84" t="n">
        <x:f>IF(AND(OR(H88="Solved",H88="Revised"),G88="New (counts toward 400)"),1,0)</x:f>
        <x:v>0</x:v>
      </x:c>
    </x:row>
    <x:row r="89" ht="48" customHeight="1">
      <x:c r="A89" s="84" t="n">
        <x:v>86</x:v>
      </x:c>
      <x:c r="B89" s="84" t="n">
        <x:v>141</x:v>
      </x:c>
      <x:c r="C89" s="80" t="str">
        <x:v>Linked List Cycle</x:v>
      </x:c>
      <x:c r="D89" s="84" t="str">
        <x:v>Easy</x:v>
      </x:c>
      <x:c r="E89" s="84" t="str">
        <x:v>Linked List / Fast-Slow Pointers</x:v>
      </x:c>
      <x:c r="F89" s="84" t="str">
        <x:v>P1</x:v>
      </x:c>
      <x:c r="G89" s="84" t="str">
        <x:v>New (counts toward 400)</x:v>
      </x:c>
      <x:c r="H89" s="84" t="str">
        <x:v>Not Started</x:v>
      </x:c>
      <x:c r="I89" s="80" t="str">
        <x:v>Track visited node addresses in a set.</x:v>
      </x:c>
      <x:c r="J89" s="80" t="str">
        <x:v>Floyd slow/fast pointers; a meeting indicates a cycle.</x:v>
      </x:c>
      <x:c r="K89" s="80" t="str">
        <x:v>O(n)</x:v>
      </x:c>
      <x:c r="L89" s="80" t="str">
        <x:v>O(1)</x:v>
      </x:c>
      <x:c r="M89" s="84" t="n">
        <x:v>0</x:v>
      </x:c>
      <x:c r="N89" s="86"/>
      <x:c r="O89" s="84"/>
      <x:c r="P89" s="86"/>
      <x:c r="Q89" s="80" t="str">
        <x:v>https://leetcode.com/problems/linked-list-cycle/</x:v>
      </x:c>
      <x:c r="R89" s="80" t="str"/>
      <x:c r="S89" s="84" t="n">
        <x:f>IF(AND(OR(H89="Solved",H89="Revised"),G89="New (counts toward 400)"),1,0)</x:f>
        <x:v>0</x:v>
      </x:c>
    </x:row>
    <x:row r="90" ht="48" customHeight="1">
      <x:c r="A90" s="84" t="n">
        <x:v>87</x:v>
      </x:c>
      <x:c r="B90" s="84" t="n">
        <x:v>142</x:v>
      </x:c>
      <x:c r="C90" s="80" t="str">
        <x:v>Linked List Cycle II</x:v>
      </x:c>
      <x:c r="D90" s="84" t="str">
        <x:v>Medium</x:v>
      </x:c>
      <x:c r="E90" s="84" t="str">
        <x:v>Linked List / Fast-Slow Pointers</x:v>
      </x:c>
      <x:c r="F90" s="84" t="str">
        <x:v>P1</x:v>
      </x:c>
      <x:c r="G90" s="84" t="str">
        <x:v>New (counts toward 400)</x:v>
      </x:c>
      <x:c r="H90" s="84" t="str">
        <x:v>Not Started</x:v>
      </x:c>
      <x:c r="I90" s="80" t="str">
        <x:v>Use repeated scans or extra containers to locate and organize nodes.</x:v>
      </x:c>
      <x:c r="J90" s="80" t="str">
        <x:v>Use a dummy node, careful pointer rewiring, and/or fast-slow pointers; save next before rewiring.</x:v>
      </x:c>
      <x:c r="K90" s="80" t="str">
        <x:v>O(n) typical</x:v>
      </x:c>
      <x:c r="L90" s="80" t="str">
        <x:v>O(1) extra when possible</x:v>
      </x:c>
      <x:c r="M90" s="84" t="n">
        <x:v>0</x:v>
      </x:c>
      <x:c r="N90" s="86"/>
      <x:c r="O90" s="84"/>
      <x:c r="P90" s="86"/>
      <x:c r="Q90" s="80" t="str">
        <x:v>https://leetcode.com/problems/linked-list-cycle-ii/</x:v>
      </x:c>
      <x:c r="R90" s="80" t="str"/>
      <x:c r="S90" s="84" t="n">
        <x:f>IF(AND(OR(H90="Solved",H90="Revised"),G90="New (counts toward 400)"),1,0)</x:f>
        <x:v>0</x:v>
      </x:c>
    </x:row>
    <x:row r="91" ht="48" customHeight="1">
      <x:c r="A91" s="84" t="n">
        <x:v>88</x:v>
      </x:c>
      <x:c r="B91" s="84" t="n">
        <x:v>19</x:v>
      </x:c>
      <x:c r="C91" s="80" t="str">
        <x:v>Remove Nth Node From End of List</x:v>
      </x:c>
      <x:c r="D91" s="84" t="str">
        <x:v>Medium</x:v>
      </x:c>
      <x:c r="E91" s="84" t="str">
        <x:v>Linked List / Two Pointers</x:v>
      </x:c>
      <x:c r="F91" s="84" t="str">
        <x:v>P1</x:v>
      </x:c>
      <x:c r="G91" s="84" t="str">
        <x:v>New (counts toward 400)</x:v>
      </x:c>
      <x:c r="H91" s="84" t="str">
        <x:v>Not Started</x:v>
      </x:c>
      <x:c r="I91" s="80" t="str">
        <x:v>Enumerate candidate pairs/segments and compare their values.</x:v>
      </x:c>
      <x:c r="J91" s="80" t="str">
        <x:v>Use sorted order or a monotonic invariant to decide which pointer moves; skip duplicates when needed.</x:v>
      </x:c>
      <x:c r="K91" s="80" t="str">
        <x:v>O(n) to O(n log n)</x:v>
      </x:c>
      <x:c r="L91" s="80" t="str">
        <x:v>O(1) extra excluding output</x:v>
      </x:c>
      <x:c r="M91" s="84" t="n">
        <x:v>0</x:v>
      </x:c>
      <x:c r="N91" s="86"/>
      <x:c r="O91" s="84"/>
      <x:c r="P91" s="86"/>
      <x:c r="Q91" s="80" t="str">
        <x:v>https://leetcode.com/problems/remove-nth-node-from-end-of-list/</x:v>
      </x:c>
      <x:c r="R91" s="80" t="str"/>
      <x:c r="S91" s="84" t="n">
        <x:f>IF(AND(OR(H91="Solved",H91="Revised"),G91="New (counts toward 400)"),1,0)</x:f>
        <x:v>0</x:v>
      </x:c>
    </x:row>
    <x:row r="92" ht="48" customHeight="1">
      <x:c r="A92" s="84" t="n">
        <x:v>89</x:v>
      </x:c>
      <x:c r="B92" s="84" t="n">
        <x:v>876</x:v>
      </x:c>
      <x:c r="C92" s="80" t="str">
        <x:v>Middle of the Linked List</x:v>
      </x:c>
      <x:c r="D92" s="84" t="str">
        <x:v>Easy</x:v>
      </x:c>
      <x:c r="E92" s="84" t="str">
        <x:v>Linked List / Fast-Slow Pointers</x:v>
      </x:c>
      <x:c r="F92" s="84" t="str">
        <x:v>P1</x:v>
      </x:c>
      <x:c r="G92" s="84" t="str">
        <x:v>New (counts toward 400)</x:v>
      </x:c>
      <x:c r="H92" s="84" t="str">
        <x:v>Not Started</x:v>
      </x:c>
      <x:c r="I92" s="80" t="str">
        <x:v>Use repeated scans or extra containers to locate and organize nodes.</x:v>
      </x:c>
      <x:c r="J92" s="80" t="str">
        <x:v>Use a dummy node, careful pointer rewiring, and/or fast-slow pointers; save next before rewiring.</x:v>
      </x:c>
      <x:c r="K92" s="80" t="str">
        <x:v>O(n) typical</x:v>
      </x:c>
      <x:c r="L92" s="80" t="str">
        <x:v>O(1) extra when possible</x:v>
      </x:c>
      <x:c r="M92" s="84" t="n">
        <x:v>0</x:v>
      </x:c>
      <x:c r="N92" s="86"/>
      <x:c r="O92" s="84"/>
      <x:c r="P92" s="86"/>
      <x:c r="Q92" s="80" t="str">
        <x:v>https://leetcode.com/problems/middle-of-the-linked-list/</x:v>
      </x:c>
      <x:c r="R92" s="80" t="str"/>
      <x:c r="S92" s="84" t="n">
        <x:f>IF(AND(OR(H92="Solved",H92="Revised"),G92="New (counts toward 400)"),1,0)</x:f>
        <x:v>0</x:v>
      </x:c>
    </x:row>
    <x:row r="93" ht="48" customHeight="1">
      <x:c r="A93" s="84" t="n">
        <x:v>90</x:v>
      </x:c>
      <x:c r="B93" s="84" t="n">
        <x:v>160</x:v>
      </x:c>
      <x:c r="C93" s="80" t="str">
        <x:v>Intersection of Two Linked Lists</x:v>
      </x:c>
      <x:c r="D93" s="84" t="str">
        <x:v>Easy</x:v>
      </x:c>
      <x:c r="E93" s="84" t="str">
        <x:v>Linked List / Two Pointers</x:v>
      </x:c>
      <x:c r="F93" s="84" t="str">
        <x:v>P1</x:v>
      </x:c>
      <x:c r="G93" s="84" t="str">
        <x:v>New (counts toward 400)</x:v>
      </x:c>
      <x:c r="H93" s="84" t="str">
        <x:v>Not Started</x:v>
      </x:c>
      <x:c r="I93" s="80" t="str">
        <x:v>Enumerate candidate pairs/segments and compare their values.</x:v>
      </x:c>
      <x:c r="J93" s="80" t="str">
        <x:v>Use sorted order or a monotonic invariant to decide which pointer moves; skip duplicates when needed.</x:v>
      </x:c>
      <x:c r="K93" s="80" t="str">
        <x:v>O(n) to O(n log n)</x:v>
      </x:c>
      <x:c r="L93" s="80" t="str">
        <x:v>O(1) extra excluding output</x:v>
      </x:c>
      <x:c r="M93" s="84" t="n">
        <x:v>0</x:v>
      </x:c>
      <x:c r="N93" s="86"/>
      <x:c r="O93" s="84"/>
      <x:c r="P93" s="86"/>
      <x:c r="Q93" s="80" t="str">
        <x:v>https://leetcode.com/problems/intersection-of-two-linked-lists/</x:v>
      </x:c>
      <x:c r="R93" s="80" t="str"/>
      <x:c r="S93" s="84" t="n">
        <x:f>IF(AND(OR(H93="Solved",H93="Revised"),G93="New (counts toward 400)"),1,0)</x:f>
        <x:v>0</x:v>
      </x:c>
    </x:row>
    <x:row r="94" ht="48" customHeight="1">
      <x:c r="A94" s="84" t="n">
        <x:v>91</x:v>
      </x:c>
      <x:c r="B94" s="84" t="n">
        <x:v>234</x:v>
      </x:c>
      <x:c r="C94" s="80" t="str">
        <x:v>Palindrome Linked List</x:v>
      </x:c>
      <x:c r="D94" s="84" t="str">
        <x:v>Easy</x:v>
      </x:c>
      <x:c r="E94" s="84" t="str">
        <x:v>Linked List / Fast-Slow Pointers</x:v>
      </x:c>
      <x:c r="F94" s="84" t="str">
        <x:v>P1</x:v>
      </x:c>
      <x:c r="G94" s="84" t="str">
        <x:v>New (counts toward 400)</x:v>
      </x:c>
      <x:c r="H94" s="84" t="str">
        <x:v>Not Started</x:v>
      </x:c>
      <x:c r="I94" s="80" t="str">
        <x:v>Use repeated scans or extra containers to locate and organize nodes.</x:v>
      </x:c>
      <x:c r="J94" s="80" t="str">
        <x:v>Use a dummy node, careful pointer rewiring, and/or fast-slow pointers; save next before rewiring.</x:v>
      </x:c>
      <x:c r="K94" s="80" t="str">
        <x:v>O(n) typical</x:v>
      </x:c>
      <x:c r="L94" s="80" t="str">
        <x:v>O(1) extra when possible</x:v>
      </x:c>
      <x:c r="M94" s="84" t="n">
        <x:v>0</x:v>
      </x:c>
      <x:c r="N94" s="86"/>
      <x:c r="O94" s="84"/>
      <x:c r="P94" s="86"/>
      <x:c r="Q94" s="80" t="str">
        <x:v>https://leetcode.com/problems/palindrome-linked-list/</x:v>
      </x:c>
      <x:c r="R94" s="80" t="str"/>
      <x:c r="S94" s="84" t="n">
        <x:f>IF(AND(OR(H94="Solved",H94="Revised"),G94="New (counts toward 400)"),1,0)</x:f>
        <x:v>0</x:v>
      </x:c>
    </x:row>
    <x:row r="95" ht="48" customHeight="1">
      <x:c r="A95" s="84" t="n">
        <x:v>92</x:v>
      </x:c>
      <x:c r="B95" s="84" t="n">
        <x:v>143</x:v>
      </x:c>
      <x:c r="C95" s="80" t="str">
        <x:v>Reorder List</x:v>
      </x:c>
      <x:c r="D95" s="84" t="str">
        <x:v>Medium</x:v>
      </x:c>
      <x:c r="E95" s="84" t="str">
        <x:v>Linked List / Two Pointers</x:v>
      </x:c>
      <x:c r="F95" s="84" t="str">
        <x:v>P1</x:v>
      </x:c>
      <x:c r="G95" s="84" t="str">
        <x:v>New (counts toward 400)</x:v>
      </x:c>
      <x:c r="H95" s="84" t="str">
        <x:v>Not Started</x:v>
      </x:c>
      <x:c r="I95" s="80" t="str">
        <x:v>Enumerate candidate pairs/segments and compare their values.</x:v>
      </x:c>
      <x:c r="J95" s="80" t="str">
        <x:v>Use sorted order or a monotonic invariant to decide which pointer moves; skip duplicates when needed.</x:v>
      </x:c>
      <x:c r="K95" s="80" t="str">
        <x:v>O(n) to O(n log n)</x:v>
      </x:c>
      <x:c r="L95" s="80" t="str">
        <x:v>O(1) extra excluding output</x:v>
      </x:c>
      <x:c r="M95" s="84" t="n">
        <x:v>0</x:v>
      </x:c>
      <x:c r="N95" s="86"/>
      <x:c r="O95" s="84"/>
      <x:c r="P95" s="86"/>
      <x:c r="Q95" s="80" t="str">
        <x:v>https://leetcode.com/problems/reorder-list/</x:v>
      </x:c>
      <x:c r="R95" s="80" t="str"/>
      <x:c r="S95" s="84" t="n">
        <x:f>IF(AND(OR(H95="Solved",H95="Revised"),G95="New (counts toward 400)"),1,0)</x:f>
        <x:v>0</x:v>
      </x:c>
    </x:row>
    <x:row r="96" ht="48" customHeight="1">
      <x:c r="A96" s="84" t="n">
        <x:v>93</x:v>
      </x:c>
      <x:c r="B96" s="84" t="n">
        <x:v>25</x:v>
      </x:c>
      <x:c r="C96" s="80" t="str">
        <x:v>Reverse Nodes in k-Group</x:v>
      </x:c>
      <x:c r="D96" s="84" t="str">
        <x:v>Hard</x:v>
      </x:c>
      <x:c r="E96" s="84" t="str">
        <x:v>Linked List / Pointer Rewiring</x:v>
      </x:c>
      <x:c r="F96" s="84" t="str">
        <x:v>P2</x:v>
      </x:c>
      <x:c r="G96" s="84" t="str">
        <x:v>New (counts toward 400)</x:v>
      </x:c>
      <x:c r="H96" s="84" t="str">
        <x:v>Not Started</x:v>
      </x:c>
      <x:c r="I96" s="80" t="str">
        <x:v>Use repeated scans or extra containers to locate and organize nodes.</x:v>
      </x:c>
      <x:c r="J96" s="80" t="str">
        <x:v>Use a dummy node, careful pointer rewiring, and/or fast-slow pointers; save next before rewiring.</x:v>
      </x:c>
      <x:c r="K96" s="80" t="str">
        <x:v>O(n) typical</x:v>
      </x:c>
      <x:c r="L96" s="80" t="str">
        <x:v>O(1) extra when possible</x:v>
      </x:c>
      <x:c r="M96" s="84" t="n">
        <x:v>0</x:v>
      </x:c>
      <x:c r="N96" s="86"/>
      <x:c r="O96" s="84"/>
      <x:c r="P96" s="86"/>
      <x:c r="Q96" s="80" t="str">
        <x:v>https://leetcode.com/problems/reverse-nodes-in-k-group/</x:v>
      </x:c>
      <x:c r="R96" s="80" t="str"/>
      <x:c r="S96" s="84" t="n">
        <x:f>IF(AND(OR(H96="Solved",H96="Revised"),G96="New (counts toward 400)"),1,0)</x:f>
        <x:v>0</x:v>
      </x:c>
    </x:row>
    <x:row r="97" ht="48" customHeight="1">
      <x:c r="A97" s="84" t="n">
        <x:v>94</x:v>
      </x:c>
      <x:c r="B97" s="84" t="n">
        <x:v>24</x:v>
      </x:c>
      <x:c r="C97" s="80" t="str">
        <x:v>Swap Nodes in Pairs</x:v>
      </x:c>
      <x:c r="D97" s="84" t="str">
        <x:v>Medium</x:v>
      </x:c>
      <x:c r="E97" s="84" t="str">
        <x:v>Linked List / Pointer Rewiring</x:v>
      </x:c>
      <x:c r="F97" s="84" t="str">
        <x:v>P2</x:v>
      </x:c>
      <x:c r="G97" s="84" t="str">
        <x:v>New (counts toward 400)</x:v>
      </x:c>
      <x:c r="H97" s="84" t="str">
        <x:v>Not Started</x:v>
      </x:c>
      <x:c r="I97" s="80" t="str">
        <x:v>Use repeated scans or extra containers to locate and organize nodes.</x:v>
      </x:c>
      <x:c r="J97" s="80" t="str">
        <x:v>Use a dummy node, careful pointer rewiring, and/or fast-slow pointers; save next before rewiring.</x:v>
      </x:c>
      <x:c r="K97" s="80" t="str">
        <x:v>O(n) typical</x:v>
      </x:c>
      <x:c r="L97" s="80" t="str">
        <x:v>O(1) extra when possible</x:v>
      </x:c>
      <x:c r="M97" s="84" t="n">
        <x:v>0</x:v>
      </x:c>
      <x:c r="N97" s="86"/>
      <x:c r="O97" s="84"/>
      <x:c r="P97" s="86"/>
      <x:c r="Q97" s="80" t="str">
        <x:v>https://leetcode.com/problems/swap-nodes-in-pairs/</x:v>
      </x:c>
      <x:c r="R97" s="80" t="str"/>
      <x:c r="S97" s="84" t="n">
        <x:f>IF(AND(OR(H97="Solved",H97="Revised"),G97="New (counts toward 400)"),1,0)</x:f>
        <x:v>0</x:v>
      </x:c>
    </x:row>
    <x:row r="98" ht="48" customHeight="1">
      <x:c r="A98" s="84" t="n">
        <x:v>95</x:v>
      </x:c>
      <x:c r="B98" s="84" t="n">
        <x:v>92</x:v>
      </x:c>
      <x:c r="C98" s="80" t="str">
        <x:v>Reverse Linked List II</x:v>
      </x:c>
      <x:c r="D98" s="84" t="str">
        <x:v>Medium</x:v>
      </x:c>
      <x:c r="E98" s="84" t="str">
        <x:v>Linked List / Pointer Rewiring</x:v>
      </x:c>
      <x:c r="F98" s="84" t="str">
        <x:v>P2</x:v>
      </x:c>
      <x:c r="G98" s="84" t="str">
        <x:v>New (counts toward 400)</x:v>
      </x:c>
      <x:c r="H98" s="84" t="str">
        <x:v>Not Started</x:v>
      </x:c>
      <x:c r="I98" s="80" t="str">
        <x:v>Use repeated scans or extra containers to locate and organize nodes.</x:v>
      </x:c>
      <x:c r="J98" s="80" t="str">
        <x:v>Use a dummy node, careful pointer rewiring, and/or fast-slow pointers; save next before rewiring.</x:v>
      </x:c>
      <x:c r="K98" s="80" t="str">
        <x:v>O(n) typical</x:v>
      </x:c>
      <x:c r="L98" s="80" t="str">
        <x:v>O(1) extra when possible</x:v>
      </x:c>
      <x:c r="M98" s="84" t="n">
        <x:v>0</x:v>
      </x:c>
      <x:c r="N98" s="86"/>
      <x:c r="O98" s="84"/>
      <x:c r="P98" s="86"/>
      <x:c r="Q98" s="80" t="str">
        <x:v>https://leetcode.com/problems/reverse-linked-list-ii/</x:v>
      </x:c>
      <x:c r="R98" s="80" t="str"/>
      <x:c r="S98" s="84" t="n">
        <x:f>IF(AND(OR(H98="Solved",H98="Revised"),G98="New (counts toward 400)"),1,0)</x:f>
        <x:v>0</x:v>
      </x:c>
    </x:row>
    <x:row r="99" ht="48" customHeight="1">
      <x:c r="A99" s="84" t="n">
        <x:v>96</x:v>
      </x:c>
      <x:c r="B99" s="84" t="n">
        <x:v>138</x:v>
      </x:c>
      <x:c r="C99" s="80" t="str">
        <x:v>Copy List with Random Pointer</x:v>
      </x:c>
      <x:c r="D99" s="84" t="str">
        <x:v>Medium</x:v>
      </x:c>
      <x:c r="E99" s="84" t="str">
        <x:v>Linked List / Hashing</x:v>
      </x:c>
      <x:c r="F99" s="84" t="str">
        <x:v>P1</x:v>
      </x:c>
      <x:c r="G99" s="84" t="str">
        <x:v>New (counts toward 400)</x:v>
      </x:c>
      <x:c r="H99" s="84" t="str">
        <x:v>Not Started</x:v>
      </x:c>
      <x:c r="I99" s="80" t="str">
        <x:v>Use repeated scans or extra containers to locate and organize nodes.</x:v>
      </x:c>
      <x:c r="J99" s="80" t="str">
        <x:v>Use a dummy node, careful pointer rewiring, and/or fast-slow pointers; save next before rewiring.</x:v>
      </x:c>
      <x:c r="K99" s="80" t="str">
        <x:v>O(n) typical</x:v>
      </x:c>
      <x:c r="L99" s="80" t="str">
        <x:v>O(1) extra when possible</x:v>
      </x:c>
      <x:c r="M99" s="84" t="n">
        <x:v>0</x:v>
      </x:c>
      <x:c r="N99" s="86"/>
      <x:c r="O99" s="84"/>
      <x:c r="P99" s="86"/>
      <x:c r="Q99" s="80" t="str">
        <x:v>https://leetcode.com/problems/copy-list-with-random-pointer/</x:v>
      </x:c>
      <x:c r="R99" s="80" t="str"/>
      <x:c r="S99" s="84" t="n">
        <x:f>IF(AND(OR(H99="Solved",H99="Revised"),G99="New (counts toward 400)"),1,0)</x:f>
        <x:v>0</x:v>
      </x:c>
    </x:row>
    <x:row r="100" ht="48" customHeight="1">
      <x:c r="A100" s="84" t="n">
        <x:v>97</x:v>
      </x:c>
      <x:c r="B100" s="84" t="n">
        <x:v>23</x:v>
      </x:c>
      <x:c r="C100" s="80" t="str">
        <x:v>Merge k Sorted Lists</x:v>
      </x:c>
      <x:c r="D100" s="84" t="str">
        <x:v>Hard</x:v>
      </x:c>
      <x:c r="E100" s="84" t="str">
        <x:v>Linked List / Heap</x:v>
      </x:c>
      <x:c r="F100" s="84" t="str">
        <x:v>P1</x:v>
      </x:c>
      <x:c r="G100" s="84" t="str">
        <x:v>New (counts toward 400)</x:v>
      </x:c>
      <x:c r="H100" s="84" t="str">
        <x:v>Not Started</x:v>
      </x:c>
      <x:c r="I100" s="80" t="str">
        <x:v>Use repeated scans or extra containers to locate and organize nodes.</x:v>
      </x:c>
      <x:c r="J100" s="80" t="str">
        <x:v>Use a dummy node, careful pointer rewiring, and/or fast-slow pointers; save next before rewiring.</x:v>
      </x:c>
      <x:c r="K100" s="80" t="str">
        <x:v>O(n) typical</x:v>
      </x:c>
      <x:c r="L100" s="80" t="str">
        <x:v>O(1) extra when possible</x:v>
      </x:c>
      <x:c r="M100" s="84" t="n">
        <x:v>0</x:v>
      </x:c>
      <x:c r="N100" s="86"/>
      <x:c r="O100" s="84"/>
      <x:c r="P100" s="86"/>
      <x:c r="Q100" s="80" t="str">
        <x:v>https://leetcode.com/problems/merge-k-sorted-lists/</x:v>
      </x:c>
      <x:c r="R100" s="80" t="str"/>
      <x:c r="S100" s="84" t="n">
        <x:f>IF(AND(OR(H100="Solved",H100="Revised"),G100="New (counts toward 400)"),1,0)</x:f>
        <x:v>0</x:v>
      </x:c>
    </x:row>
    <x:row r="101" ht="48" customHeight="1">
      <x:c r="A101" s="84" t="n">
        <x:v>98</x:v>
      </x:c>
      <x:c r="B101" s="84" t="n">
        <x:v>148</x:v>
      </x:c>
      <x:c r="C101" s="80" t="str">
        <x:v>Sort List</x:v>
      </x:c>
      <x:c r="D101" s="84" t="str">
        <x:v>Medium</x:v>
      </x:c>
      <x:c r="E101" s="84" t="str">
        <x:v>Linked List / Merge Sort</x:v>
      </x:c>
      <x:c r="F101" s="84" t="str">
        <x:v>P2</x:v>
      </x:c>
      <x:c r="G101" s="84" t="str">
        <x:v>New (counts toward 400)</x:v>
      </x:c>
      <x:c r="H101" s="84" t="str">
        <x:v>Not Started</x:v>
      </x:c>
      <x:c r="I101" s="80" t="str">
        <x:v>Use repeated scans or extra containers to locate and organize nodes.</x:v>
      </x:c>
      <x:c r="J101" s="80" t="str">
        <x:v>Use a dummy node, careful pointer rewiring, and/or fast-slow pointers; save next before rewiring.</x:v>
      </x:c>
      <x:c r="K101" s="80" t="str">
        <x:v>O(n) typical</x:v>
      </x:c>
      <x:c r="L101" s="80" t="str">
        <x:v>O(1) extra when possible</x:v>
      </x:c>
      <x:c r="M101" s="84" t="n">
        <x:v>0</x:v>
      </x:c>
      <x:c r="N101" s="86"/>
      <x:c r="O101" s="84"/>
      <x:c r="P101" s="86"/>
      <x:c r="Q101" s="80" t="str">
        <x:v>https://leetcode.com/problems/sort-list/</x:v>
      </x:c>
      <x:c r="R101" s="80" t="str"/>
      <x:c r="S101" s="84" t="n">
        <x:f>IF(AND(OR(H101="Solved",H101="Revised"),G101="New (counts toward 400)"),1,0)</x:f>
        <x:v>0</x:v>
      </x:c>
    </x:row>
    <x:row r="102" ht="48" customHeight="1">
      <x:c r="A102" s="84" t="n">
        <x:v>99</x:v>
      </x:c>
      <x:c r="B102" s="84" t="n">
        <x:v>61</x:v>
      </x:c>
      <x:c r="C102" s="80" t="str">
        <x:v>Rotate List</x:v>
      </x:c>
      <x:c r="D102" s="84" t="str">
        <x:v>Medium</x:v>
      </x:c>
      <x:c r="E102" s="84" t="str">
        <x:v>Linked List</x:v>
      </x:c>
      <x:c r="F102" s="84" t="str">
        <x:v>P2</x:v>
      </x:c>
      <x:c r="G102" s="84" t="str">
        <x:v>New (counts toward 400)</x:v>
      </x:c>
      <x:c r="H102" s="84" t="str">
        <x:v>Not Started</x:v>
      </x:c>
      <x:c r="I102" s="80" t="str">
        <x:v>Use repeated scans or extra containers to locate and organize nodes.</x:v>
      </x:c>
      <x:c r="J102" s="80" t="str">
        <x:v>Use a dummy node, careful pointer rewiring, and/or fast-slow pointers; save next before rewiring.</x:v>
      </x:c>
      <x:c r="K102" s="80" t="str">
        <x:v>O(n) typical</x:v>
      </x:c>
      <x:c r="L102" s="80" t="str">
        <x:v>O(1) extra when possible</x:v>
      </x:c>
      <x:c r="M102" s="84" t="n">
        <x:v>0</x:v>
      </x:c>
      <x:c r="N102" s="86"/>
      <x:c r="O102" s="84"/>
      <x:c r="P102" s="86"/>
      <x:c r="Q102" s="80" t="str">
        <x:v>https://leetcode.com/problems/rotate-list/</x:v>
      </x:c>
      <x:c r="R102" s="80" t="str"/>
      <x:c r="S102" s="84" t="n">
        <x:f>IF(AND(OR(H102="Solved",H102="Revised"),G102="New (counts toward 400)"),1,0)</x:f>
        <x:v>0</x:v>
      </x:c>
    </x:row>
    <x:row r="103" ht="48" customHeight="1">
      <x:c r="A103" s="84" t="n">
        <x:v>100</x:v>
      </x:c>
      <x:c r="B103" s="84" t="n">
        <x:v>82</x:v>
      </x:c>
      <x:c r="C103" s="80" t="str">
        <x:v>Remove Duplicates from Sorted List II</x:v>
      </x:c>
      <x:c r="D103" s="84" t="str">
        <x:v>Medium</x:v>
      </x:c>
      <x:c r="E103" s="84" t="str">
        <x:v>Linked List</x:v>
      </x:c>
      <x:c r="F103" s="84" t="str">
        <x:v>P2</x:v>
      </x:c>
      <x:c r="G103" s="84" t="str">
        <x:v>New (counts toward 400)</x:v>
      </x:c>
      <x:c r="H103" s="84" t="str">
        <x:v>Not Started</x:v>
      </x:c>
      <x:c r="I103" s="80" t="str">
        <x:v>Use repeated scans or extra containers to locate and organize nodes.</x:v>
      </x:c>
      <x:c r="J103" s="80" t="str">
        <x:v>Use a dummy node, careful pointer rewiring, and/or fast-slow pointers; save next before rewiring.</x:v>
      </x:c>
      <x:c r="K103" s="80" t="str">
        <x:v>O(n) typical</x:v>
      </x:c>
      <x:c r="L103" s="80" t="str">
        <x:v>O(1) extra when possible</x:v>
      </x:c>
      <x:c r="M103" s="84" t="n">
        <x:v>0</x:v>
      </x:c>
      <x:c r="N103" s="86"/>
      <x:c r="O103" s="84"/>
      <x:c r="P103" s="86"/>
      <x:c r="Q103" s="80" t="str">
        <x:v>https://leetcode.com/problems/remove-duplicates-from-sorted-list-ii/</x:v>
      </x:c>
      <x:c r="R103" s="80" t="str"/>
      <x:c r="S103" s="84" t="n">
        <x:f>IF(AND(OR(H103="Solved",H103="Revised"),G103="New (counts toward 400)"),1,0)</x:f>
        <x:v>0</x:v>
      </x:c>
    </x:row>
    <x:row r="104" ht="48" customHeight="1">
      <x:c r="A104" s="84" t="n">
        <x:v>101</x:v>
      </x:c>
      <x:c r="B104" s="84" t="n">
        <x:v>83</x:v>
      </x:c>
      <x:c r="C104" s="80" t="str">
        <x:v>Remove Duplicates from Sorted List</x:v>
      </x:c>
      <x:c r="D104" s="84" t="str">
        <x:v>Easy</x:v>
      </x:c>
      <x:c r="E104" s="84" t="str">
        <x:v>Linked List</x:v>
      </x:c>
      <x:c r="F104" s="84" t="str">
        <x:v>P2</x:v>
      </x:c>
      <x:c r="G104" s="84" t="str">
        <x:v>New (counts toward 400)</x:v>
      </x:c>
      <x:c r="H104" s="84" t="str">
        <x:v>Not Started</x:v>
      </x:c>
      <x:c r="I104" s="80" t="str">
        <x:v>Use repeated scans or extra containers to locate and organize nodes.</x:v>
      </x:c>
      <x:c r="J104" s="80" t="str">
        <x:v>Use a dummy node, careful pointer rewiring, and/or fast-slow pointers; save next before rewiring.</x:v>
      </x:c>
      <x:c r="K104" s="80" t="str">
        <x:v>O(n) typical</x:v>
      </x:c>
      <x:c r="L104" s="80" t="str">
        <x:v>O(1) extra when possible</x:v>
      </x:c>
      <x:c r="M104" s="84" t="n">
        <x:v>0</x:v>
      </x:c>
      <x:c r="N104" s="86"/>
      <x:c r="O104" s="84"/>
      <x:c r="P104" s="86"/>
      <x:c r="Q104" s="80" t="str">
        <x:v>https://leetcode.com/problems/remove-duplicates-from-sorted-list/</x:v>
      </x:c>
      <x:c r="R104" s="80" t="str"/>
      <x:c r="S104" s="84" t="n">
        <x:f>IF(AND(OR(H104="Solved",H104="Revised"),G104="New (counts toward 400)"),1,0)</x:f>
        <x:v>0</x:v>
      </x:c>
    </x:row>
    <x:row r="105" ht="48" customHeight="1">
      <x:c r="A105" s="84" t="n">
        <x:v>102</x:v>
      </x:c>
      <x:c r="B105" s="84" t="n">
        <x:v>86</x:v>
      </x:c>
      <x:c r="C105" s="80" t="str">
        <x:v>Partition List</x:v>
      </x:c>
      <x:c r="D105" s="84" t="str">
        <x:v>Medium</x:v>
      </x:c>
      <x:c r="E105" s="84" t="str">
        <x:v>Linked List</x:v>
      </x:c>
      <x:c r="F105" s="84" t="str">
        <x:v>P2</x:v>
      </x:c>
      <x:c r="G105" s="84" t="str">
        <x:v>New (counts toward 400)</x:v>
      </x:c>
      <x:c r="H105" s="84" t="str">
        <x:v>Not Started</x:v>
      </x:c>
      <x:c r="I105" s="80" t="str">
        <x:v>Use repeated scans or extra containers to locate and organize nodes.</x:v>
      </x:c>
      <x:c r="J105" s="80" t="str">
        <x:v>Use a dummy node, careful pointer rewiring, and/or fast-slow pointers; save next before rewiring.</x:v>
      </x:c>
      <x:c r="K105" s="80" t="str">
        <x:v>O(n) typical</x:v>
      </x:c>
      <x:c r="L105" s="80" t="str">
        <x:v>O(1) extra when possible</x:v>
      </x:c>
      <x:c r="M105" s="84" t="n">
        <x:v>0</x:v>
      </x:c>
      <x:c r="N105" s="86"/>
      <x:c r="O105" s="84"/>
      <x:c r="P105" s="86"/>
      <x:c r="Q105" s="80" t="str">
        <x:v>https://leetcode.com/problems/partition-list/</x:v>
      </x:c>
      <x:c r="R105" s="80" t="str"/>
      <x:c r="S105" s="84" t="n">
        <x:f>IF(AND(OR(H105="Solved",H105="Revised"),G105="New (counts toward 400)"),1,0)</x:f>
        <x:v>0</x:v>
      </x:c>
    </x:row>
    <x:row r="106" ht="48" customHeight="1">
      <x:c r="A106" s="84" t="n">
        <x:v>103</x:v>
      </x:c>
      <x:c r="B106" s="84" t="n">
        <x:v>707</x:v>
      </x:c>
      <x:c r="C106" s="80" t="str">
        <x:v>Design Linked List</x:v>
      </x:c>
      <x:c r="D106" s="84" t="str">
        <x:v>Medium</x:v>
      </x:c>
      <x:c r="E106" s="84" t="str">
        <x:v>Design / Linked List</x:v>
      </x:c>
      <x:c r="F106" s="84" t="str">
        <x:v>P3</x:v>
      </x:c>
      <x:c r="G106" s="84" t="str">
        <x:v>New (counts toward 400)</x:v>
      </x:c>
      <x:c r="H106" s="84" t="str">
        <x:v>Not Started</x:v>
      </x:c>
      <x:c r="I106" s="80" t="str">
        <x:v>Use repeated scans or extra containers to locate and organize nodes.</x:v>
      </x:c>
      <x:c r="J106" s="80" t="str">
        <x:v>Use a dummy node, careful pointer rewiring, and/or fast-slow pointers; save next before rewiring.</x:v>
      </x:c>
      <x:c r="K106" s="80" t="str">
        <x:v>O(n) typical</x:v>
      </x:c>
      <x:c r="L106" s="80" t="str">
        <x:v>O(1) extra when possible</x:v>
      </x:c>
      <x:c r="M106" s="84" t="n">
        <x:v>0</x:v>
      </x:c>
      <x:c r="N106" s="86"/>
      <x:c r="O106" s="84"/>
      <x:c r="P106" s="86"/>
      <x:c r="Q106" s="80" t="str">
        <x:v>https://leetcode.com/problems/design-linked-list/</x:v>
      </x:c>
      <x:c r="R106" s="80" t="str"/>
      <x:c r="S106" s="84" t="n">
        <x:f>IF(AND(OR(H106="Solved",H106="Revised"),G106="New (counts toward 400)"),1,0)</x:f>
        <x:v>0</x:v>
      </x:c>
    </x:row>
    <x:row r="107" ht="48" customHeight="1">
      <x:c r="A107" s="84" t="n">
        <x:v>104</x:v>
      </x:c>
      <x:c r="B107" s="84" t="n">
        <x:v>430</x:v>
      </x:c>
      <x:c r="C107" s="80" t="str">
        <x:v>Flatten a Multilevel Doubly Linked List</x:v>
      </x:c>
      <x:c r="D107" s="84" t="str">
        <x:v>Medium</x:v>
      </x:c>
      <x:c r="E107" s="84" t="str">
        <x:v>Linked List / DFS</x:v>
      </x:c>
      <x:c r="F107" s="84" t="str">
        <x:v>P2</x:v>
      </x:c>
      <x:c r="G107" s="84" t="str">
        <x:v>New (counts toward 400)</x:v>
      </x:c>
      <x:c r="H107" s="84" t="str">
        <x:v>Not Started</x:v>
      </x:c>
      <x:c r="I107" s="80" t="str">
        <x:v>Use repeated scans or extra containers to locate and organize nodes.</x:v>
      </x:c>
      <x:c r="J107" s="80" t="str">
        <x:v>Use a dummy node, careful pointer rewiring, and/or fast-slow pointers; save next before rewiring.</x:v>
      </x:c>
      <x:c r="K107" s="80" t="str">
        <x:v>O(n) typical</x:v>
      </x:c>
      <x:c r="L107" s="80" t="str">
        <x:v>O(1) extra when possible</x:v>
      </x:c>
      <x:c r="M107" s="84" t="n">
        <x:v>0</x:v>
      </x:c>
      <x:c r="N107" s="86"/>
      <x:c r="O107" s="84"/>
      <x:c r="P107" s="86"/>
      <x:c r="Q107" s="80" t="str">
        <x:v>https://leetcode.com/problems/flatten-a-multilevel-doubly-linked-list/</x:v>
      </x:c>
      <x:c r="R107" s="80" t="str"/>
      <x:c r="S107" s="84" t="n">
        <x:f>IF(AND(OR(H107="Solved",H107="Revised"),G107="New (counts toward 400)"),1,0)</x:f>
        <x:v>0</x:v>
      </x:c>
    </x:row>
    <x:row r="108" ht="48" customHeight="1">
      <x:c r="A108" s="84" t="n">
        <x:v>105</x:v>
      </x:c>
      <x:c r="B108" s="84" t="n">
        <x:v>146</x:v>
      </x:c>
      <x:c r="C108" s="80" t="str">
        <x:v>LRU Cache</x:v>
      </x:c>
      <x:c r="D108" s="84" t="str">
        <x:v>Medium</x:v>
      </x:c>
      <x:c r="E108" s="84" t="str">
        <x:v>Design / Hash Map / Doubly Linked List</x:v>
      </x:c>
      <x:c r="F108" s="84" t="str">
        <x:v>P1</x:v>
      </x:c>
      <x:c r="G108" s="84" t="str">
        <x:v>New (counts toward 400)</x:v>
      </x:c>
      <x:c r="H108" s="84" t="str">
        <x:v>Not Started</x:v>
      </x:c>
      <x:c r="I108" s="80" t="str">
        <x:v>Linearly search a list and move/evict entries, O(capacity) per operation.</x:v>
      </x:c>
      <x:c r="J108" s="80" t="str">
        <x:v>unordered_map + doubly linked list for average O(1) get/put and recency updates.</x:v>
      </x:c>
      <x:c r="K108" s="80" t="str">
        <x:v>O(1) average per operation</x:v>
      </x:c>
      <x:c r="L108" s="80" t="str">
        <x:v>O(capacity)</x:v>
      </x:c>
      <x:c r="M108" s="84" t="n">
        <x:v>0</x:v>
      </x:c>
      <x:c r="N108" s="86"/>
      <x:c r="O108" s="84"/>
      <x:c r="P108" s="86"/>
      <x:c r="Q108" s="80" t="str">
        <x:v>https://leetcode.com/problems/lru-cache/</x:v>
      </x:c>
      <x:c r="R108" s="80" t="str"/>
      <x:c r="S108" s="84" t="n">
        <x:f>IF(AND(OR(H108="Solved",H108="Revised"),G108="New (counts toward 400)"),1,0)</x:f>
        <x:v>0</x:v>
      </x:c>
    </x:row>
    <x:row r="109" ht="48" customHeight="1">
      <x:c r="A109" s="84" t="n">
        <x:v>106</x:v>
      </x:c>
      <x:c r="B109" s="84" t="n">
        <x:v>460</x:v>
      </x:c>
      <x:c r="C109" s="80" t="str">
        <x:v>LFU Cache</x:v>
      </x:c>
      <x:c r="D109" s="84" t="str">
        <x:v>Hard</x:v>
      </x:c>
      <x:c r="E109" s="84" t="str">
        <x:v>Design / Hash Map / Doubly Linked List</x:v>
      </x:c>
      <x:c r="F109" s="84" t="str">
        <x:v>P2</x:v>
      </x:c>
      <x:c r="G109" s="84" t="str">
        <x:v>New (counts toward 400)</x:v>
      </x:c>
      <x:c r="H109" s="84" t="str">
        <x:v>Not Started</x:v>
      </x:c>
      <x:c r="I109" s="80" t="str">
        <x:v>Use repeated scans or extra containers to locate and organize nodes.</x:v>
      </x:c>
      <x:c r="J109" s="80" t="str">
        <x:v>Use a dummy node, careful pointer rewiring, and/or fast-slow pointers; save next before rewiring.</x:v>
      </x:c>
      <x:c r="K109" s="80" t="str">
        <x:v>O(n) typical</x:v>
      </x:c>
      <x:c r="L109" s="80" t="str">
        <x:v>O(1) extra when possible</x:v>
      </x:c>
      <x:c r="M109" s="84" t="n">
        <x:v>0</x:v>
      </x:c>
      <x:c r="N109" s="86"/>
      <x:c r="O109" s="84"/>
      <x:c r="P109" s="86"/>
      <x:c r="Q109" s="80" t="str">
        <x:v>https://leetcode.com/problems/lfu-cache/</x:v>
      </x:c>
      <x:c r="R109" s="80" t="str"/>
      <x:c r="S109" s="84" t="n">
        <x:f>IF(AND(OR(H109="Solved",H109="Revised"),G109="New (counts toward 400)"),1,0)</x:f>
        <x:v>0</x:v>
      </x:c>
    </x:row>
    <x:row r="110" ht="48" customHeight="1">
      <x:c r="A110" s="84" t="n">
        <x:v>107</x:v>
      </x:c>
      <x:c r="B110" s="84" t="n">
        <x:v>1171</x:v>
      </x:c>
      <x:c r="C110" s="80" t="str">
        <x:v>Remove Zero Sum Consecutive Nodes from Linked List</x:v>
      </x:c>
      <x:c r="D110" s="84" t="str">
        <x:v>Medium</x:v>
      </x:c>
      <x:c r="E110" s="84" t="str">
        <x:v>Linked List / Prefix Sum</x:v>
      </x:c>
      <x:c r="F110" s="84" t="str">
        <x:v>P2</x:v>
      </x:c>
      <x:c r="G110" s="84" t="str">
        <x:v>New (counts toward 400)</x:v>
      </x:c>
      <x:c r="H110" s="84" t="str">
        <x:v>Not Started</x:v>
      </x:c>
      <x:c r="I110" s="80" t="str">
        <x:v>Enumerate ranges and recompute their sums/counts.</x:v>
      </x:c>
      <x:c r="J110" s="80" t="str">
        <x:v>Use running prefix/difference values; store prior prefix frequencies for target-range counts.</x:v>
      </x:c>
      <x:c r="K110" s="80" t="str">
        <x:v>O(n) typical</x:v>
      </x:c>
      <x:c r="L110" s="80" t="str">
        <x:v>O(n)</x:v>
      </x:c>
      <x:c r="M110" s="84" t="n">
        <x:v>0</x:v>
      </x:c>
      <x:c r="N110" s="86"/>
      <x:c r="O110" s="84"/>
      <x:c r="P110" s="86"/>
      <x:c r="Q110" s="80" t="str">
        <x:v>https://leetcode.com/problems/remove-zero-sum-consecutive-nodes-from-linked-list/</x:v>
      </x:c>
      <x:c r="R110" s="80" t="str"/>
      <x:c r="S110" s="84" t="n">
        <x:f>IF(AND(OR(H110="Solved",H110="Revised"),G110="New (counts toward 400)"),1,0)</x:f>
        <x:v>0</x:v>
      </x:c>
    </x:row>
    <x:row r="111" ht="48" customHeight="1">
      <x:c r="A111" s="84" t="n">
        <x:v>108</x:v>
      </x:c>
      <x:c r="B111" s="84" t="n">
        <x:v>445</x:v>
      </x:c>
      <x:c r="C111" s="80" t="str">
        <x:v>Add Two Numbers II</x:v>
      </x:c>
      <x:c r="D111" s="84" t="str">
        <x:v>Medium</x:v>
      </x:c>
      <x:c r="E111" s="84" t="str">
        <x:v>Linked List / Stack</x:v>
      </x:c>
      <x:c r="F111" s="84" t="str">
        <x:v>P2</x:v>
      </x:c>
      <x:c r="G111" s="84" t="str">
        <x:v>New (counts toward 400)</x:v>
      </x:c>
      <x:c r="H111" s="84" t="str">
        <x:v>Not Started</x:v>
      </x:c>
      <x:c r="I111" s="80" t="str">
        <x:v>Use repeated scans or extra containers to locate and organize nodes.</x:v>
      </x:c>
      <x:c r="J111" s="80" t="str">
        <x:v>Use a dummy node, careful pointer rewiring, and/or fast-slow pointers; save next before rewiring.</x:v>
      </x:c>
      <x:c r="K111" s="80" t="str">
        <x:v>O(n) typical</x:v>
      </x:c>
      <x:c r="L111" s="80" t="str">
        <x:v>O(1) extra when possible</x:v>
      </x:c>
      <x:c r="M111" s="84" t="n">
        <x:v>0</x:v>
      </x:c>
      <x:c r="N111" s="86"/>
      <x:c r="O111" s="84"/>
      <x:c r="P111" s="86"/>
      <x:c r="Q111" s="80" t="str">
        <x:v>https://leetcode.com/problems/add-two-numbers-ii/</x:v>
      </x:c>
      <x:c r="R111" s="80" t="str"/>
      <x:c r="S111" s="84" t="n">
        <x:f>IF(AND(OR(H111="Solved",H111="Revised"),G111="New (counts toward 400)"),1,0)</x:f>
        <x:v>0</x:v>
      </x:c>
    </x:row>
    <x:row r="112" ht="48" customHeight="1">
      <x:c r="A112" s="84" t="n">
        <x:v>109</x:v>
      </x:c>
      <x:c r="B112" s="84" t="n">
        <x:v>328</x:v>
      </x:c>
      <x:c r="C112" s="80" t="str">
        <x:v>Odd Even Linked List</x:v>
      </x:c>
      <x:c r="D112" s="84" t="str">
        <x:v>Medium</x:v>
      </x:c>
      <x:c r="E112" s="84" t="str">
        <x:v>Linked List / Pointer Rewiring</x:v>
      </x:c>
      <x:c r="F112" s="84" t="str">
        <x:v>P2</x:v>
      </x:c>
      <x:c r="G112" s="84" t="str">
        <x:v>New (counts toward 400)</x:v>
      </x:c>
      <x:c r="H112" s="84" t="str">
        <x:v>Not Started</x:v>
      </x:c>
      <x:c r="I112" s="80" t="str">
        <x:v>Use repeated scans or extra containers to locate and organize nodes.</x:v>
      </x:c>
      <x:c r="J112" s="80" t="str">
        <x:v>Use a dummy node, careful pointer rewiring, and/or fast-slow pointers; save next before rewiring.</x:v>
      </x:c>
      <x:c r="K112" s="80" t="str">
        <x:v>O(n) typical</x:v>
      </x:c>
      <x:c r="L112" s="80" t="str">
        <x:v>O(1) extra when possible</x:v>
      </x:c>
      <x:c r="M112" s="84" t="n">
        <x:v>0</x:v>
      </x:c>
      <x:c r="N112" s="86"/>
      <x:c r="O112" s="84"/>
      <x:c r="P112" s="86"/>
      <x:c r="Q112" s="80" t="str">
        <x:v>https://leetcode.com/problems/odd-even-linked-list/</x:v>
      </x:c>
      <x:c r="R112" s="80" t="str"/>
      <x:c r="S112" s="84" t="n">
        <x:f>IF(AND(OR(H112="Solved",H112="Revised"),G112="New (counts toward 400)"),1,0)</x:f>
        <x:v>0</x:v>
      </x:c>
    </x:row>
    <x:row r="113" ht="48" customHeight="1">
      <x:c r="A113" s="84" t="n">
        <x:v>110</x:v>
      </x:c>
      <x:c r="B113" s="84" t="n">
        <x:v>94</x:v>
      </x:c>
      <x:c r="C113" s="80" t="str">
        <x:v>Binary Tree Inorder Traversal</x:v>
      </x:c>
      <x:c r="D113" s="84" t="str">
        <x:v>Easy</x:v>
      </x:c>
      <x:c r="E113" s="84" t="str">
        <x:v>Tree / DFS</x:v>
      </x:c>
      <x:c r="F113" s="84" t="str">
        <x:v>P1</x:v>
      </x:c>
      <x:c r="G113" s="84" t="str">
        <x:v>New (counts toward 400)</x:v>
      </x:c>
      <x:c r="H113" s="84" t="str">
        <x:v>Not Started</x:v>
      </x:c>
      <x:c r="I113" s="80" t="str">
        <x:v>Revisit subtrees repeatedly or enumerate candidate paths for each node.</x:v>
      </x:c>
      <x:c r="J113" s="80" t="str">
        <x:v>Use DFS for subtree/path state or BFS for levels; pass bounds or parent information explicitly.</x:v>
      </x:c>
      <x:c r="K113" s="80" t="str">
        <x:v>O(n) typical</x:v>
      </x:c>
      <x:c r="L113" s="80" t="str">
        <x:v>O(h) DFS or O(n) BFS</x:v>
      </x:c>
      <x:c r="M113" s="84" t="n">
        <x:v>0</x:v>
      </x:c>
      <x:c r="N113" s="86"/>
      <x:c r="O113" s="84"/>
      <x:c r="P113" s="86"/>
      <x:c r="Q113" s="80" t="str">
        <x:v>https://leetcode.com/problems/binary-tree-inorder-traversal/</x:v>
      </x:c>
      <x:c r="R113" s="80" t="str"/>
      <x:c r="S113" s="84" t="n">
        <x:f>IF(AND(OR(H113="Solved",H113="Revised"),G113="New (counts toward 400)"),1,0)</x:f>
        <x:v>0</x:v>
      </x:c>
    </x:row>
    <x:row r="114" ht="48" customHeight="1">
      <x:c r="A114" s="84" t="n">
        <x:v>111</x:v>
      </x:c>
      <x:c r="B114" s="84" t="n">
        <x:v>144</x:v>
      </x:c>
      <x:c r="C114" s="80" t="str">
        <x:v>Binary Tree Preorder Traversal</x:v>
      </x:c>
      <x:c r="D114" s="84" t="str">
        <x:v>Easy</x:v>
      </x:c>
      <x:c r="E114" s="84" t="str">
        <x:v>Tree / DFS</x:v>
      </x:c>
      <x:c r="F114" s="84" t="str">
        <x:v>P2</x:v>
      </x:c>
      <x:c r="G114" s="84" t="str">
        <x:v>New (counts toward 400)</x:v>
      </x:c>
      <x:c r="H114" s="84" t="str">
        <x:v>Not Started</x:v>
      </x:c>
      <x:c r="I114" s="80" t="str">
        <x:v>Revisit subtrees repeatedly or enumerate candidate paths for each node.</x:v>
      </x:c>
      <x:c r="J114" s="80" t="str">
        <x:v>Use DFS for subtree/path state or BFS for levels; pass bounds or parent information explicitly.</x:v>
      </x:c>
      <x:c r="K114" s="80" t="str">
        <x:v>O(n) typical</x:v>
      </x:c>
      <x:c r="L114" s="80" t="str">
        <x:v>O(h) DFS or O(n) BFS</x:v>
      </x:c>
      <x:c r="M114" s="84" t="n">
        <x:v>0</x:v>
      </x:c>
      <x:c r="N114" s="86"/>
      <x:c r="O114" s="84"/>
      <x:c r="P114" s="86"/>
      <x:c r="Q114" s="80" t="str">
        <x:v>https://leetcode.com/problems/binary-tree-preorder-traversal/</x:v>
      </x:c>
      <x:c r="R114" s="80" t="str"/>
      <x:c r="S114" s="84" t="n">
        <x:f>IF(AND(OR(H114="Solved",H114="Revised"),G114="New (counts toward 400)"),1,0)</x:f>
        <x:v>0</x:v>
      </x:c>
    </x:row>
    <x:row r="115" ht="48" customHeight="1">
      <x:c r="A115" s="84" t="n">
        <x:v>112</x:v>
      </x:c>
      <x:c r="B115" s="84" t="n">
        <x:v>145</x:v>
      </x:c>
      <x:c r="C115" s="80" t="str">
        <x:v>Binary Tree Postorder Traversal</x:v>
      </x:c>
      <x:c r="D115" s="84" t="str">
        <x:v>Easy</x:v>
      </x:c>
      <x:c r="E115" s="84" t="str">
        <x:v>Tree / DFS</x:v>
      </x:c>
      <x:c r="F115" s="84" t="str">
        <x:v>P2</x:v>
      </x:c>
      <x:c r="G115" s="84" t="str">
        <x:v>New (counts toward 400)</x:v>
      </x:c>
      <x:c r="H115" s="84" t="str">
        <x:v>Not Started</x:v>
      </x:c>
      <x:c r="I115" s="80" t="str">
        <x:v>Revisit subtrees repeatedly or enumerate candidate paths for each node.</x:v>
      </x:c>
      <x:c r="J115" s="80" t="str">
        <x:v>Use DFS for subtree/path state or BFS for levels; pass bounds or parent information explicitly.</x:v>
      </x:c>
      <x:c r="K115" s="80" t="str">
        <x:v>O(n) typical</x:v>
      </x:c>
      <x:c r="L115" s="80" t="str">
        <x:v>O(h) DFS or O(n) BFS</x:v>
      </x:c>
      <x:c r="M115" s="84" t="n">
        <x:v>0</x:v>
      </x:c>
      <x:c r="N115" s="86"/>
      <x:c r="O115" s="84"/>
      <x:c r="P115" s="86"/>
      <x:c r="Q115" s="80" t="str">
        <x:v>https://leetcode.com/problems/binary-tree-postorder-traversal/</x:v>
      </x:c>
      <x:c r="R115" s="80" t="str"/>
      <x:c r="S115" s="84" t="n">
        <x:f>IF(AND(OR(H115="Solved",H115="Revised"),G115="New (counts toward 400)"),1,0)</x:f>
        <x:v>0</x:v>
      </x:c>
    </x:row>
    <x:row r="116" ht="48" customHeight="1">
      <x:c r="A116" s="84" t="n">
        <x:v>113</x:v>
      </x:c>
      <x:c r="B116" s="84" t="n">
        <x:v>102</x:v>
      </x:c>
      <x:c r="C116" s="80" t="str">
        <x:v>Binary Tree Level Order Traversal</x:v>
      </x:c>
      <x:c r="D116" s="84" t="str">
        <x:v>Medium</x:v>
      </x:c>
      <x:c r="E116" s="84" t="str">
        <x:v>Tree / BFS</x:v>
      </x:c>
      <x:c r="F116" s="84" t="str">
        <x:v>P1</x:v>
      </x:c>
      <x:c r="G116" s="84" t="str">
        <x:v>New (counts toward 400)</x:v>
      </x:c>
      <x:c r="H116" s="84" t="str">
        <x:v>Not Started</x:v>
      </x:c>
      <x:c r="I116" s="80" t="str">
        <x:v>Traverse the tree separately for each depth.</x:v>
      </x:c>
      <x:c r="J116" s="80" t="str">
        <x:v>BFS queue; capture the queue size at each level before processing it.</x:v>
      </x:c>
      <x:c r="K116" s="80" t="str">
        <x:v>O(n)</x:v>
      </x:c>
      <x:c r="L116" s="80" t="str">
        <x:v>O(n)</x:v>
      </x:c>
      <x:c r="M116" s="84" t="n">
        <x:v>0</x:v>
      </x:c>
      <x:c r="N116" s="86"/>
      <x:c r="O116" s="84"/>
      <x:c r="P116" s="86"/>
      <x:c r="Q116" s="80" t="str">
        <x:v>https://leetcode.com/problems/binary-tree-level-order-traversal/</x:v>
      </x:c>
      <x:c r="R116" s="80" t="str"/>
      <x:c r="S116" s="84" t="n">
        <x:f>IF(AND(OR(H116="Solved",H116="Revised"),G116="New (counts toward 400)"),1,0)</x:f>
        <x:v>0</x:v>
      </x:c>
    </x:row>
    <x:row r="117" ht="48" customHeight="1">
      <x:c r="A117" s="84" t="n">
        <x:v>114</x:v>
      </x:c>
      <x:c r="B117" s="84" t="n">
        <x:v>103</x:v>
      </x:c>
      <x:c r="C117" s="80" t="str">
        <x:v>Binary Tree Zigzag Level Order Traversal</x:v>
      </x:c>
      <x:c r="D117" s="84" t="str">
        <x:v>Medium</x:v>
      </x:c>
      <x:c r="E117" s="84" t="str">
        <x:v>Tree / BFS</x:v>
      </x:c>
      <x:c r="F117" s="84" t="str">
        <x:v>P2</x:v>
      </x:c>
      <x:c r="G117" s="84" t="str">
        <x:v>New (counts toward 400)</x:v>
      </x:c>
      <x:c r="H117" s="84" t="str">
        <x:v>Not Started</x:v>
      </x:c>
      <x:c r="I117" s="80" t="str">
        <x:v>Revisit subtrees repeatedly or enumerate candidate paths for each node.</x:v>
      </x:c>
      <x:c r="J117" s="80" t="str">
        <x:v>Use DFS for subtree/path state or BFS for levels; pass bounds or parent information explicitly.</x:v>
      </x:c>
      <x:c r="K117" s="80" t="str">
        <x:v>O(n) typical</x:v>
      </x:c>
      <x:c r="L117" s="80" t="str">
        <x:v>O(h) DFS or O(n) BFS</x:v>
      </x:c>
      <x:c r="M117" s="84" t="n">
        <x:v>0</x:v>
      </x:c>
      <x:c r="N117" s="86"/>
      <x:c r="O117" s="84"/>
      <x:c r="P117" s="86"/>
      <x:c r="Q117" s="80" t="str">
        <x:v>https://leetcode.com/problems/binary-tree-zigzag-level-order-traversal/</x:v>
      </x:c>
      <x:c r="R117" s="80" t="str"/>
      <x:c r="S117" s="84" t="n">
        <x:f>IF(AND(OR(H117="Solved",H117="Revised"),G117="New (counts toward 400)"),1,0)</x:f>
        <x:v>0</x:v>
      </x:c>
    </x:row>
    <x:row r="118" ht="48" customHeight="1">
      <x:c r="A118" s="84" t="n">
        <x:v>115</x:v>
      </x:c>
      <x:c r="B118" s="84" t="n">
        <x:v>199</x:v>
      </x:c>
      <x:c r="C118" s="80" t="str">
        <x:v>Binary Tree Right Side View</x:v>
      </x:c>
      <x:c r="D118" s="84" t="str">
        <x:v>Medium</x:v>
      </x:c>
      <x:c r="E118" s="84" t="str">
        <x:v>Tree / BFS</x:v>
      </x:c>
      <x:c r="F118" s="84" t="str">
        <x:v>P1</x:v>
      </x:c>
      <x:c r="G118" s="84" t="str">
        <x:v>New (counts toward 400)</x:v>
      </x:c>
      <x:c r="H118" s="84" t="str">
        <x:v>Not Started</x:v>
      </x:c>
      <x:c r="I118" s="80" t="str">
        <x:v>Revisit subtrees repeatedly or enumerate candidate paths for each node.</x:v>
      </x:c>
      <x:c r="J118" s="80" t="str">
        <x:v>Use DFS for subtree/path state or BFS for levels; pass bounds or parent information explicitly.</x:v>
      </x:c>
      <x:c r="K118" s="80" t="str">
        <x:v>O(n) typical</x:v>
      </x:c>
      <x:c r="L118" s="80" t="str">
        <x:v>O(h) DFS or O(n) BFS</x:v>
      </x:c>
      <x:c r="M118" s="84" t="n">
        <x:v>0</x:v>
      </x:c>
      <x:c r="N118" s="86"/>
      <x:c r="O118" s="84"/>
      <x:c r="P118" s="86"/>
      <x:c r="Q118" s="80" t="str">
        <x:v>https://leetcode.com/problems/binary-tree-right-side-view/</x:v>
      </x:c>
      <x:c r="R118" s="80" t="str"/>
      <x:c r="S118" s="84" t="n">
        <x:f>IF(AND(OR(H118="Solved",H118="Revised"),G118="New (counts toward 400)"),1,0)</x:f>
        <x:v>0</x:v>
      </x:c>
    </x:row>
    <x:row r="119" ht="48" customHeight="1">
      <x:c r="A119" s="84" t="n">
        <x:v>116</x:v>
      </x:c>
      <x:c r="B119" s="84" t="n">
        <x:v>104</x:v>
      </x:c>
      <x:c r="C119" s="80" t="str">
        <x:v>Maximum Depth of Binary Tree</x:v>
      </x:c>
      <x:c r="D119" s="84" t="str">
        <x:v>Easy</x:v>
      </x:c>
      <x:c r="E119" s="84" t="str">
        <x:v>Tree / DFS</x:v>
      </x:c>
      <x:c r="F119" s="84" t="str">
        <x:v>P1</x:v>
      </x:c>
      <x:c r="G119" s="84" t="str">
        <x:v>New (counts toward 400)</x:v>
      </x:c>
      <x:c r="H119" s="84" t="str">
        <x:v>Not Started</x:v>
      </x:c>
      <x:c r="I119" s="80" t="str">
        <x:v>Revisit subtrees repeatedly or enumerate candidate paths for each node.</x:v>
      </x:c>
      <x:c r="J119" s="80" t="str">
        <x:v>Use DFS for subtree/path state or BFS for levels; pass bounds or parent information explicitly.</x:v>
      </x:c>
      <x:c r="K119" s="80" t="str">
        <x:v>O(n) typical</x:v>
      </x:c>
      <x:c r="L119" s="80" t="str">
        <x:v>O(h) DFS or O(n) BFS</x:v>
      </x:c>
      <x:c r="M119" s="84" t="n">
        <x:v>0</x:v>
      </x:c>
      <x:c r="N119" s="86"/>
      <x:c r="O119" s="84"/>
      <x:c r="P119" s="86"/>
      <x:c r="Q119" s="80" t="str">
        <x:v>https://leetcode.com/problems/maximum-depth-of-binary-tree/</x:v>
      </x:c>
      <x:c r="R119" s="80" t="str"/>
      <x:c r="S119" s="84" t="n">
        <x:f>IF(AND(OR(H119="Solved",H119="Revised"),G119="New (counts toward 400)"),1,0)</x:f>
        <x:v>0</x:v>
      </x:c>
    </x:row>
    <x:row r="120" ht="48" customHeight="1">
      <x:c r="A120" s="84" t="n">
        <x:v>117</x:v>
      </x:c>
      <x:c r="B120" s="84" t="n">
        <x:v>111</x:v>
      </x:c>
      <x:c r="C120" s="80" t="str">
        <x:v>Minimum Depth of Binary Tree</x:v>
      </x:c>
      <x:c r="D120" s="84" t="str">
        <x:v>Easy</x:v>
      </x:c>
      <x:c r="E120" s="84" t="str">
        <x:v>Tree / BFS / DFS</x:v>
      </x:c>
      <x:c r="F120" s="84" t="str">
        <x:v>P2</x:v>
      </x:c>
      <x:c r="G120" s="84" t="str">
        <x:v>New (counts toward 400)</x:v>
      </x:c>
      <x:c r="H120" s="84" t="str">
        <x:v>Not Started</x:v>
      </x:c>
      <x:c r="I120" s="80" t="str">
        <x:v>Revisit subtrees repeatedly or enumerate candidate paths for each node.</x:v>
      </x:c>
      <x:c r="J120" s="80" t="str">
        <x:v>Use DFS for subtree/path state or BFS for levels; pass bounds or parent information explicitly.</x:v>
      </x:c>
      <x:c r="K120" s="80" t="str">
        <x:v>O(n) typical</x:v>
      </x:c>
      <x:c r="L120" s="80" t="str">
        <x:v>O(h) DFS or O(n) BFS</x:v>
      </x:c>
      <x:c r="M120" s="84" t="n">
        <x:v>0</x:v>
      </x:c>
      <x:c r="N120" s="86"/>
      <x:c r="O120" s="84"/>
      <x:c r="P120" s="86"/>
      <x:c r="Q120" s="80" t="str">
        <x:v>https://leetcode.com/problems/minimum-depth-of-binary-tree/</x:v>
      </x:c>
      <x:c r="R120" s="80" t="str"/>
      <x:c r="S120" s="84" t="n">
        <x:f>IF(AND(OR(H120="Solved",H120="Revised"),G120="New (counts toward 400)"),1,0)</x:f>
        <x:v>0</x:v>
      </x:c>
    </x:row>
    <x:row r="121" ht="48" customHeight="1">
      <x:c r="A121" s="84" t="n">
        <x:v>118</x:v>
      </x:c>
      <x:c r="B121" s="84" t="n">
        <x:v>226</x:v>
      </x:c>
      <x:c r="C121" s="80" t="str">
        <x:v>Invert Binary Tree</x:v>
      </x:c>
      <x:c r="D121" s="84" t="str">
        <x:v>Easy</x:v>
      </x:c>
      <x:c r="E121" s="84" t="str">
        <x:v>Tree / DFS</x:v>
      </x:c>
      <x:c r="F121" s="84" t="str">
        <x:v>P1</x:v>
      </x:c>
      <x:c r="G121" s="84" t="str">
        <x:v>New (counts toward 400)</x:v>
      </x:c>
      <x:c r="H121" s="84" t="str">
        <x:v>Not Started</x:v>
      </x:c>
      <x:c r="I121" s="80" t="str">
        <x:v>Revisit subtrees repeatedly or enumerate candidate paths for each node.</x:v>
      </x:c>
      <x:c r="J121" s="80" t="str">
        <x:v>Use DFS for subtree/path state or BFS for levels; pass bounds or parent information explicitly.</x:v>
      </x:c>
      <x:c r="K121" s="80" t="str">
        <x:v>O(n) typical</x:v>
      </x:c>
      <x:c r="L121" s="80" t="str">
        <x:v>O(h) DFS or O(n) BFS</x:v>
      </x:c>
      <x:c r="M121" s="84" t="n">
        <x:v>0</x:v>
      </x:c>
      <x:c r="N121" s="86"/>
      <x:c r="O121" s="84"/>
      <x:c r="P121" s="86"/>
      <x:c r="Q121" s="80" t="str">
        <x:v>https://leetcode.com/problems/invert-binary-tree/</x:v>
      </x:c>
      <x:c r="R121" s="80" t="str"/>
      <x:c r="S121" s="84" t="n">
        <x:f>IF(AND(OR(H121="Solved",H121="Revised"),G121="New (counts toward 400)"),1,0)</x:f>
        <x:v>0</x:v>
      </x:c>
    </x:row>
    <x:row r="122" ht="48" customHeight="1">
      <x:c r="A122" s="84" t="n">
        <x:v>119</x:v>
      </x:c>
      <x:c r="B122" s="84" t="n">
        <x:v>100</x:v>
      </x:c>
      <x:c r="C122" s="80" t="str">
        <x:v>Same Tree</x:v>
      </x:c>
      <x:c r="D122" s="84" t="str">
        <x:v>Easy</x:v>
      </x:c>
      <x:c r="E122" s="84" t="str">
        <x:v>Tree / DFS</x:v>
      </x:c>
      <x:c r="F122" s="84" t="str">
        <x:v>P2</x:v>
      </x:c>
      <x:c r="G122" s="84" t="str">
        <x:v>New (counts toward 400)</x:v>
      </x:c>
      <x:c r="H122" s="84" t="str">
        <x:v>Not Started</x:v>
      </x:c>
      <x:c r="I122" s="80" t="str">
        <x:v>Revisit subtrees repeatedly or enumerate candidate paths for each node.</x:v>
      </x:c>
      <x:c r="J122" s="80" t="str">
        <x:v>Use DFS for subtree/path state or BFS for levels; pass bounds or parent information explicitly.</x:v>
      </x:c>
      <x:c r="K122" s="80" t="str">
        <x:v>O(n) typical</x:v>
      </x:c>
      <x:c r="L122" s="80" t="str">
        <x:v>O(h) DFS or O(n) BFS</x:v>
      </x:c>
      <x:c r="M122" s="84" t="n">
        <x:v>0</x:v>
      </x:c>
      <x:c r="N122" s="86"/>
      <x:c r="O122" s="84"/>
      <x:c r="P122" s="86"/>
      <x:c r="Q122" s="80" t="str">
        <x:v>https://leetcode.com/problems/same-tree/</x:v>
      </x:c>
      <x:c r="R122" s="80" t="str"/>
      <x:c r="S122" s="84" t="n">
        <x:f>IF(AND(OR(H122="Solved",H122="Revised"),G122="New (counts toward 400)"),1,0)</x:f>
        <x:v>0</x:v>
      </x:c>
    </x:row>
    <x:row r="123" ht="48" customHeight="1">
      <x:c r="A123" s="84" t="n">
        <x:v>120</x:v>
      </x:c>
      <x:c r="B123" s="84" t="n">
        <x:v>101</x:v>
      </x:c>
      <x:c r="C123" s="80" t="str">
        <x:v>Symmetric Tree</x:v>
      </x:c>
      <x:c r="D123" s="84" t="str">
        <x:v>Easy</x:v>
      </x:c>
      <x:c r="E123" s="84" t="str">
        <x:v>Tree / DFS</x:v>
      </x:c>
      <x:c r="F123" s="84" t="str">
        <x:v>P1</x:v>
      </x:c>
      <x:c r="G123" s="84" t="str">
        <x:v>New (counts toward 400)</x:v>
      </x:c>
      <x:c r="H123" s="84" t="str">
        <x:v>Not Started</x:v>
      </x:c>
      <x:c r="I123" s="80" t="str">
        <x:v>Revisit subtrees repeatedly or enumerate candidate paths for each node.</x:v>
      </x:c>
      <x:c r="J123" s="80" t="str">
        <x:v>Use DFS for subtree/path state or BFS for levels; pass bounds or parent information explicitly.</x:v>
      </x:c>
      <x:c r="K123" s="80" t="str">
        <x:v>O(n) typical</x:v>
      </x:c>
      <x:c r="L123" s="80" t="str">
        <x:v>O(h) DFS or O(n) BFS</x:v>
      </x:c>
      <x:c r="M123" s="84" t="n">
        <x:v>0</x:v>
      </x:c>
      <x:c r="N123" s="86"/>
      <x:c r="O123" s="84"/>
      <x:c r="P123" s="86"/>
      <x:c r="Q123" s="80" t="str">
        <x:v>https://leetcode.com/problems/symmetric-tree/</x:v>
      </x:c>
      <x:c r="R123" s="80" t="str"/>
      <x:c r="S123" s="84" t="n">
        <x:f>IF(AND(OR(H123="Solved",H123="Revised"),G123="New (counts toward 400)"),1,0)</x:f>
        <x:v>0</x:v>
      </x:c>
    </x:row>
    <x:row r="124" ht="48" customHeight="1">
      <x:c r="A124" s="84" t="n">
        <x:v>121</x:v>
      </x:c>
      <x:c r="B124" s="84" t="n">
        <x:v>110</x:v>
      </x:c>
      <x:c r="C124" s="80" t="str">
        <x:v>Balanced Binary Tree</x:v>
      </x:c>
      <x:c r="D124" s="84" t="str">
        <x:v>Easy</x:v>
      </x:c>
      <x:c r="E124" s="84" t="str">
        <x:v>Tree / DFS</x:v>
      </x:c>
      <x:c r="F124" s="84" t="str">
        <x:v>P1</x:v>
      </x:c>
      <x:c r="G124" s="84" t="str">
        <x:v>New (counts toward 400)</x:v>
      </x:c>
      <x:c r="H124" s="84" t="str">
        <x:v>Not Started</x:v>
      </x:c>
      <x:c r="I124" s="80" t="str">
        <x:v>Revisit subtrees repeatedly or enumerate candidate paths for each node.</x:v>
      </x:c>
      <x:c r="J124" s="80" t="str">
        <x:v>Use DFS for subtree/path state or BFS for levels; pass bounds or parent information explicitly.</x:v>
      </x:c>
      <x:c r="K124" s="80" t="str">
        <x:v>O(n) typical</x:v>
      </x:c>
      <x:c r="L124" s="80" t="str">
        <x:v>O(h) DFS or O(n) BFS</x:v>
      </x:c>
      <x:c r="M124" s="84" t="n">
        <x:v>0</x:v>
      </x:c>
      <x:c r="N124" s="86"/>
      <x:c r="O124" s="84"/>
      <x:c r="P124" s="86"/>
      <x:c r="Q124" s="80" t="str">
        <x:v>https://leetcode.com/problems/balanced-binary-tree/</x:v>
      </x:c>
      <x:c r="R124" s="80" t="str"/>
      <x:c r="S124" s="84" t="n">
        <x:f>IF(AND(OR(H124="Solved",H124="Revised"),G124="New (counts toward 400)"),1,0)</x:f>
        <x:v>0</x:v>
      </x:c>
    </x:row>
    <x:row r="125" ht="48" customHeight="1">
      <x:c r="A125" s="84" t="n">
        <x:v>122</x:v>
      </x:c>
      <x:c r="B125" s="84" t="n">
        <x:v>543</x:v>
      </x:c>
      <x:c r="C125" s="80" t="str">
        <x:v>Diameter of Binary Tree</x:v>
      </x:c>
      <x:c r="D125" s="84" t="str">
        <x:v>Easy</x:v>
      </x:c>
      <x:c r="E125" s="84" t="str">
        <x:v>Tree / DFS</x:v>
      </x:c>
      <x:c r="F125" s="84" t="str">
        <x:v>P1</x:v>
      </x:c>
      <x:c r="G125" s="84" t="str">
        <x:v>New (counts toward 400)</x:v>
      </x:c>
      <x:c r="H125" s="84" t="str">
        <x:v>Not Started</x:v>
      </x:c>
      <x:c r="I125" s="80" t="str">
        <x:v>Revisit subtrees repeatedly or enumerate candidate paths for each node.</x:v>
      </x:c>
      <x:c r="J125" s="80" t="str">
        <x:v>Use DFS for subtree/path state or BFS for levels; pass bounds or parent information explicitly.</x:v>
      </x:c>
      <x:c r="K125" s="80" t="str">
        <x:v>O(n) typical</x:v>
      </x:c>
      <x:c r="L125" s="80" t="str">
        <x:v>O(h) DFS or O(n) BFS</x:v>
      </x:c>
      <x:c r="M125" s="84" t="n">
        <x:v>0</x:v>
      </x:c>
      <x:c r="N125" s="86"/>
      <x:c r="O125" s="84"/>
      <x:c r="P125" s="86"/>
      <x:c r="Q125" s="80" t="str">
        <x:v>https://leetcode.com/problems/diameter-of-binary-tree/</x:v>
      </x:c>
      <x:c r="R125" s="80" t="str"/>
      <x:c r="S125" s="84" t="n">
        <x:f>IF(AND(OR(H125="Solved",H125="Revised"),G125="New (counts toward 400)"),1,0)</x:f>
        <x:v>0</x:v>
      </x:c>
    </x:row>
    <x:row r="126" ht="48" customHeight="1">
      <x:c r="A126" s="84" t="n">
        <x:v>123</x:v>
      </x:c>
      <x:c r="B126" s="84" t="n">
        <x:v>124</x:v>
      </x:c>
      <x:c r="C126" s="80" t="str">
        <x:v>Binary Tree Maximum Path Sum</x:v>
      </x:c>
      <x:c r="D126" s="84" t="str">
        <x:v>Hard</x:v>
      </x:c>
      <x:c r="E126" s="84" t="str">
        <x:v>Tree / DFS / DP</x:v>
      </x:c>
      <x:c r="F126" s="84" t="str">
        <x:v>P1</x:v>
      </x:c>
      <x:c r="G126" s="84" t="str">
        <x:v>New (counts toward 400)</x:v>
      </x:c>
      <x:c r="H126" s="84" t="str">
        <x:v>Not Started</x:v>
      </x:c>
      <x:c r="I126" s="80" t="str">
        <x:v>Enumerate candidate paths between pairs of nodes.</x:v>
      </x:c>
      <x:c r="J126" s="80" t="str">
        <x:v>Postorder DFS returns best downward gain; update global answer with leftGain+node+rightGain.</x:v>
      </x:c>
      <x:c r="K126" s="80" t="str">
        <x:v>O(n)</x:v>
      </x:c>
      <x:c r="L126" s="80" t="str">
        <x:v>O(h) recursion</x:v>
      </x:c>
      <x:c r="M126" s="84" t="n">
        <x:v>0</x:v>
      </x:c>
      <x:c r="N126" s="86"/>
      <x:c r="O126" s="84"/>
      <x:c r="P126" s="86"/>
      <x:c r="Q126" s="80" t="str">
        <x:v>https://leetcode.com/problems/binary-tree-maximum-path-sum/</x:v>
      </x:c>
      <x:c r="R126" s="80" t="str"/>
      <x:c r="S126" s="84" t="n">
        <x:f>IF(AND(OR(H126="Solved",H126="Revised"),G126="New (counts toward 400)"),1,0)</x:f>
        <x:v>0</x:v>
      </x:c>
    </x:row>
    <x:row r="127" ht="48" customHeight="1">
      <x:c r="A127" s="84" t="n">
        <x:v>124</x:v>
      </x:c>
      <x:c r="B127" s="84" t="n">
        <x:v>112</x:v>
      </x:c>
      <x:c r="C127" s="80" t="str">
        <x:v>Path Sum</x:v>
      </x:c>
      <x:c r="D127" s="84" t="str">
        <x:v>Easy</x:v>
      </x:c>
      <x:c r="E127" s="84" t="str">
        <x:v>Tree / DFS</x:v>
      </x:c>
      <x:c r="F127" s="84" t="str">
        <x:v>P2</x:v>
      </x:c>
      <x:c r="G127" s="84" t="str">
        <x:v>New (counts toward 400)</x:v>
      </x:c>
      <x:c r="H127" s="84" t="str">
        <x:v>Not Started</x:v>
      </x:c>
      <x:c r="I127" s="80" t="str">
        <x:v>Revisit subtrees repeatedly or enumerate candidate paths for each node.</x:v>
      </x:c>
      <x:c r="J127" s="80" t="str">
        <x:v>Use DFS for subtree/path state or BFS for levels; pass bounds or parent information explicitly.</x:v>
      </x:c>
      <x:c r="K127" s="80" t="str">
        <x:v>O(n) typical</x:v>
      </x:c>
      <x:c r="L127" s="80" t="str">
        <x:v>O(h) DFS or O(n) BFS</x:v>
      </x:c>
      <x:c r="M127" s="84" t="n">
        <x:v>0</x:v>
      </x:c>
      <x:c r="N127" s="86"/>
      <x:c r="O127" s="84"/>
      <x:c r="P127" s="86"/>
      <x:c r="Q127" s="80" t="str">
        <x:v>https://leetcode.com/problems/path-sum/</x:v>
      </x:c>
      <x:c r="R127" s="80" t="str"/>
      <x:c r="S127" s="84" t="n">
        <x:f>IF(AND(OR(H127="Solved",H127="Revised"),G127="New (counts toward 400)"),1,0)</x:f>
        <x:v>0</x:v>
      </x:c>
    </x:row>
    <x:row r="128" ht="48" customHeight="1">
      <x:c r="A128" s="84" t="n">
        <x:v>125</x:v>
      </x:c>
      <x:c r="B128" s="84" t="n">
        <x:v>113</x:v>
      </x:c>
      <x:c r="C128" s="80" t="str">
        <x:v>Path Sum II</x:v>
      </x:c>
      <x:c r="D128" s="84" t="str">
        <x:v>Medium</x:v>
      </x:c>
      <x:c r="E128" s="84" t="str">
        <x:v>Tree / Backtracking</x:v>
      </x:c>
      <x:c r="F128" s="84" t="str">
        <x:v>P2</x:v>
      </x:c>
      <x:c r="G128" s="84" t="str">
        <x:v>New (counts toward 400)</x:v>
      </x:c>
      <x:c r="H128" s="84" t="str">
        <x:v>Not Started</x:v>
      </x:c>
      <x:c r="I128" s="80" t="str">
        <x:v>Revisit subtrees repeatedly or enumerate candidate paths for each node.</x:v>
      </x:c>
      <x:c r="J128" s="80" t="str">
        <x:v>Use DFS for subtree/path state or BFS for levels; pass bounds or parent information explicitly.</x:v>
      </x:c>
      <x:c r="K128" s="80" t="str">
        <x:v>O(n) typical</x:v>
      </x:c>
      <x:c r="L128" s="80" t="str">
        <x:v>O(h) DFS or O(n) BFS</x:v>
      </x:c>
      <x:c r="M128" s="84" t="n">
        <x:v>0</x:v>
      </x:c>
      <x:c r="N128" s="86"/>
      <x:c r="O128" s="84"/>
      <x:c r="P128" s="86"/>
      <x:c r="Q128" s="80" t="str">
        <x:v>https://leetcode.com/problems/path-sum-ii/</x:v>
      </x:c>
      <x:c r="R128" s="80" t="str"/>
      <x:c r="S128" s="84" t="n">
        <x:f>IF(AND(OR(H128="Solved",H128="Revised"),G128="New (counts toward 400)"),1,0)</x:f>
        <x:v>0</x:v>
      </x:c>
    </x:row>
    <x:row r="129" ht="48" customHeight="1">
      <x:c r="A129" s="84" t="n">
        <x:v>126</x:v>
      </x:c>
      <x:c r="B129" s="84" t="n">
        <x:v>257</x:v>
      </x:c>
      <x:c r="C129" s="80" t="str">
        <x:v>Binary Tree Paths</x:v>
      </x:c>
      <x:c r="D129" s="84" t="str">
        <x:v>Easy</x:v>
      </x:c>
      <x:c r="E129" s="84" t="str">
        <x:v>Tree / DFS / Backtracking</x:v>
      </x:c>
      <x:c r="F129" s="84" t="str">
        <x:v>P2</x:v>
      </x:c>
      <x:c r="G129" s="84" t="str">
        <x:v>New (counts toward 400)</x:v>
      </x:c>
      <x:c r="H129" s="84" t="str">
        <x:v>Not Started</x:v>
      </x:c>
      <x:c r="I129" s="80" t="str">
        <x:v>Revisit subtrees repeatedly or enumerate candidate paths for each node.</x:v>
      </x:c>
      <x:c r="J129" s="80" t="str">
        <x:v>Use DFS for subtree/path state or BFS for levels; pass bounds or parent information explicitly.</x:v>
      </x:c>
      <x:c r="K129" s="80" t="str">
        <x:v>O(n) typical</x:v>
      </x:c>
      <x:c r="L129" s="80" t="str">
        <x:v>O(h) DFS or O(n) BFS</x:v>
      </x:c>
      <x:c r="M129" s="84" t="n">
        <x:v>0</x:v>
      </x:c>
      <x:c r="N129" s="86"/>
      <x:c r="O129" s="84"/>
      <x:c r="P129" s="86"/>
      <x:c r="Q129" s="80" t="str">
        <x:v>https://leetcode.com/problems/binary-tree-paths/</x:v>
      </x:c>
      <x:c r="R129" s="80" t="str"/>
      <x:c r="S129" s="84" t="n">
        <x:f>IF(AND(OR(H129="Solved",H129="Revised"),G129="New (counts toward 400)"),1,0)</x:f>
        <x:v>0</x:v>
      </x:c>
    </x:row>
    <x:row r="130" ht="48" customHeight="1">
      <x:c r="A130" s="84" t="n">
        <x:v>127</x:v>
      </x:c>
      <x:c r="B130" s="84" t="n">
        <x:v>129</x:v>
      </x:c>
      <x:c r="C130" s="80" t="str">
        <x:v>Sum Root to Leaf Numbers</x:v>
      </x:c>
      <x:c r="D130" s="84" t="str">
        <x:v>Medium</x:v>
      </x:c>
      <x:c r="E130" s="84" t="str">
        <x:v>Tree / DFS</x:v>
      </x:c>
      <x:c r="F130" s="84" t="str">
        <x:v>P2</x:v>
      </x:c>
      <x:c r="G130" s="84" t="str">
        <x:v>New (counts toward 400)</x:v>
      </x:c>
      <x:c r="H130" s="84" t="str">
        <x:v>Not Started</x:v>
      </x:c>
      <x:c r="I130" s="80" t="str">
        <x:v>Revisit subtrees repeatedly or enumerate candidate paths for each node.</x:v>
      </x:c>
      <x:c r="J130" s="80" t="str">
        <x:v>Use DFS for subtree/path state or BFS for levels; pass bounds or parent information explicitly.</x:v>
      </x:c>
      <x:c r="K130" s="80" t="str">
        <x:v>O(n) typical</x:v>
      </x:c>
      <x:c r="L130" s="80" t="str">
        <x:v>O(h) DFS or O(n) BFS</x:v>
      </x:c>
      <x:c r="M130" s="84" t="n">
        <x:v>0</x:v>
      </x:c>
      <x:c r="N130" s="86"/>
      <x:c r="O130" s="84"/>
      <x:c r="P130" s="86"/>
      <x:c r="Q130" s="80" t="str">
        <x:v>https://leetcode.com/problems/sum-root-to-leaf-numbers/</x:v>
      </x:c>
      <x:c r="R130" s="80" t="str"/>
      <x:c r="S130" s="84" t="n">
        <x:f>IF(AND(OR(H130="Solved",H130="Revised"),G130="New (counts toward 400)"),1,0)</x:f>
        <x:v>0</x:v>
      </x:c>
    </x:row>
    <x:row r="131" ht="48" customHeight="1">
      <x:c r="A131" s="84" t="n">
        <x:v>128</x:v>
      </x:c>
      <x:c r="B131" s="84" t="n">
        <x:v>437</x:v>
      </x:c>
      <x:c r="C131" s="80" t="str">
        <x:v>Path Sum III</x:v>
      </x:c>
      <x:c r="D131" s="84" t="str">
        <x:v>Medium</x:v>
      </x:c>
      <x:c r="E131" s="84" t="str">
        <x:v>Tree / Prefix Sum</x:v>
      </x:c>
      <x:c r="F131" s="84" t="str">
        <x:v>P1</x:v>
      </x:c>
      <x:c r="G131" s="84" t="str">
        <x:v>New (counts toward 400)</x:v>
      </x:c>
      <x:c r="H131" s="84" t="str">
        <x:v>Not Started</x:v>
      </x:c>
      <x:c r="I131" s="80" t="str">
        <x:v>Enumerate ranges and recompute their sums/counts.</x:v>
      </x:c>
      <x:c r="J131" s="80" t="str">
        <x:v>Use running prefix/difference values; store prior prefix frequencies for target-range counts.</x:v>
      </x:c>
      <x:c r="K131" s="80" t="str">
        <x:v>O(n) typical</x:v>
      </x:c>
      <x:c r="L131" s="80" t="str">
        <x:v>O(n)</x:v>
      </x:c>
      <x:c r="M131" s="84" t="n">
        <x:v>0</x:v>
      </x:c>
      <x:c r="N131" s="86"/>
      <x:c r="O131" s="84"/>
      <x:c r="P131" s="86"/>
      <x:c r="Q131" s="80" t="str">
        <x:v>https://leetcode.com/problems/path-sum-iii/</x:v>
      </x:c>
      <x:c r="R131" s="80" t="str"/>
      <x:c r="S131" s="84" t="n">
        <x:f>IF(AND(OR(H131="Solved",H131="Revised"),G131="New (counts toward 400)"),1,0)</x:f>
        <x:v>0</x:v>
      </x:c>
    </x:row>
    <x:row r="132" ht="48" customHeight="1">
      <x:c r="A132" s="84" t="n">
        <x:v>129</x:v>
      </x:c>
      <x:c r="B132" s="84" t="n">
        <x:v>236</x:v>
      </x:c>
      <x:c r="C132" s="80" t="str">
        <x:v>Lowest Common Ancestor of a Binary Tree</x:v>
      </x:c>
      <x:c r="D132" s="84" t="str">
        <x:v>Medium</x:v>
      </x:c>
      <x:c r="E132" s="84" t="str">
        <x:v>Tree / DFS</x:v>
      </x:c>
      <x:c r="F132" s="84" t="str">
        <x:v>P1</x:v>
      </x:c>
      <x:c r="G132" s="84" t="str">
        <x:v>New (counts toward 400)</x:v>
      </x:c>
      <x:c r="H132" s="84" t="str">
        <x:v>Not Started</x:v>
      </x:c>
      <x:c r="I132" s="80" t="str">
        <x:v>Revisit subtrees repeatedly or enumerate candidate paths for each node.</x:v>
      </x:c>
      <x:c r="J132" s="80" t="str">
        <x:v>Use DFS for subtree/path state or BFS for levels; pass bounds or parent information explicitly.</x:v>
      </x:c>
      <x:c r="K132" s="80" t="str">
        <x:v>O(n) typical</x:v>
      </x:c>
      <x:c r="L132" s="80" t="str">
        <x:v>O(h) DFS or O(n) BFS</x:v>
      </x:c>
      <x:c r="M132" s="84" t="n">
        <x:v>0</x:v>
      </x:c>
      <x:c r="N132" s="86"/>
      <x:c r="O132" s="84"/>
      <x:c r="P132" s="86"/>
      <x:c r="Q132" s="80" t="str">
        <x:v>https://leetcode.com/problems/lowest-common-ancestor-of-a-binary-tree/</x:v>
      </x:c>
      <x:c r="R132" s="80" t="str"/>
      <x:c r="S132" s="84" t="n">
        <x:f>IF(AND(OR(H132="Solved",H132="Revised"),G132="New (counts toward 400)"),1,0)</x:f>
        <x:v>0</x:v>
      </x:c>
    </x:row>
    <x:row r="133" ht="48" customHeight="1">
      <x:c r="A133" s="84" t="n">
        <x:v>130</x:v>
      </x:c>
      <x:c r="B133" s="84" t="n">
        <x:v>235</x:v>
      </x:c>
      <x:c r="C133" s="80" t="str">
        <x:v>Lowest Common Ancestor of a Binary Search Tree</x:v>
      </x:c>
      <x:c r="D133" s="84" t="str">
        <x:v>Medium</x:v>
      </x:c>
      <x:c r="E133" s="84" t="str">
        <x:v>BST</x:v>
      </x:c>
      <x:c r="F133" s="84" t="str">
        <x:v>P2</x:v>
      </x:c>
      <x:c r="G133" s="84" t="str">
        <x:v>New (counts toward 400)</x:v>
      </x:c>
      <x:c r="H133" s="84" t="str">
        <x:v>Not Started</x:v>
      </x:c>
      <x:c r="I133" s="80" t="str">
        <x:v>Revisit subtrees repeatedly or enumerate candidate paths for each node.</x:v>
      </x:c>
      <x:c r="J133" s="80" t="str">
        <x:v>Use DFS for subtree/path state or BFS for levels; pass bounds or parent information explicitly.</x:v>
      </x:c>
      <x:c r="K133" s="80" t="str">
        <x:v>O(n) typical</x:v>
      </x:c>
      <x:c r="L133" s="80" t="str">
        <x:v>O(h) DFS or O(n) BFS</x:v>
      </x:c>
      <x:c r="M133" s="84" t="n">
        <x:v>0</x:v>
      </x:c>
      <x:c r="N133" s="86"/>
      <x:c r="O133" s="84"/>
      <x:c r="P133" s="86"/>
      <x:c r="Q133" s="80" t="str">
        <x:v>https://leetcode.com/problems/lowest-common-ancestor-of-a-binary-search-tree/</x:v>
      </x:c>
      <x:c r="R133" s="80" t="str"/>
      <x:c r="S133" s="84" t="n">
        <x:f>IF(AND(OR(H133="Solved",H133="Revised"),G133="New (counts toward 400)"),1,0)</x:f>
        <x:v>0</x:v>
      </x:c>
    </x:row>
    <x:row r="134" ht="48" customHeight="1">
      <x:c r="A134" s="84" t="n">
        <x:v>131</x:v>
      </x:c>
      <x:c r="B134" s="84" t="n">
        <x:v>98</x:v>
      </x:c>
      <x:c r="C134" s="80" t="str">
        <x:v>Validate Binary Search Tree</x:v>
      </x:c>
      <x:c r="D134" s="84" t="str">
        <x:v>Medium</x:v>
      </x:c>
      <x:c r="E134" s="84" t="str">
        <x:v>BST / DFS</x:v>
      </x:c>
      <x:c r="F134" s="84" t="str">
        <x:v>P1</x:v>
      </x:c>
      <x:c r="G134" s="84" t="str">
        <x:v>New (counts toward 400)</x:v>
      </x:c>
      <x:c r="H134" s="84" t="str">
        <x:v>Not Started</x:v>
      </x:c>
      <x:c r="I134" s="80" t="str">
        <x:v>Inspect descendant ranges repeatedly at each node.</x:v>
      </x:c>
      <x:c r="J134" s="80" t="str">
        <x:v>DFS with exclusive lower/upper bounds, or inorder traversal requiring strictly increasing values.</x:v>
      </x:c>
      <x:c r="K134" s="80" t="str">
        <x:v>O(n)</x:v>
      </x:c>
      <x:c r="L134" s="80" t="str">
        <x:v>O(h) recursion</x:v>
      </x:c>
      <x:c r="M134" s="84" t="n">
        <x:v>0</x:v>
      </x:c>
      <x:c r="N134" s="86"/>
      <x:c r="O134" s="84"/>
      <x:c r="P134" s="86"/>
      <x:c r="Q134" s="80" t="str">
        <x:v>https://leetcode.com/problems/validate-binary-search-tree/</x:v>
      </x:c>
      <x:c r="R134" s="80" t="str"/>
      <x:c r="S134" s="84" t="n">
        <x:f>IF(AND(OR(H134="Solved",H134="Revised"),G134="New (counts toward 400)"),1,0)</x:f>
        <x:v>0</x:v>
      </x:c>
    </x:row>
    <x:row r="135" ht="48" customHeight="1">
      <x:c r="A135" s="84" t="n">
        <x:v>132</x:v>
      </x:c>
      <x:c r="B135" s="84" t="n">
        <x:v>230</x:v>
      </x:c>
      <x:c r="C135" s="80" t="str">
        <x:v>Kth Smallest Element in a BST</x:v>
      </x:c>
      <x:c r="D135" s="84" t="str">
        <x:v>Medium</x:v>
      </x:c>
      <x:c r="E135" s="84" t="str">
        <x:v>BST / Inorder</x:v>
      </x:c>
      <x:c r="F135" s="84" t="str">
        <x:v>P1</x:v>
      </x:c>
      <x:c r="G135" s="84" t="str">
        <x:v>New (counts toward 400)</x:v>
      </x:c>
      <x:c r="H135" s="84" t="str">
        <x:v>Not Started</x:v>
      </x:c>
      <x:c r="I135" s="80" t="str">
        <x:v>Collect values, sort them, then select k-1.</x:v>
      </x:c>
      <x:c r="J135" s="80" t="str">
        <x:v>Inorder traversal visits values in sorted order; stop on the kth node.</x:v>
      </x:c>
      <x:c r="K135" s="80" t="str">
        <x:v>O(h+k) average; O(n) worst</x:v>
      </x:c>
      <x:c r="L135" s="80" t="str">
        <x:v>O(h)</x:v>
      </x:c>
      <x:c r="M135" s="84" t="n">
        <x:v>0</x:v>
      </x:c>
      <x:c r="N135" s="86"/>
      <x:c r="O135" s="84"/>
      <x:c r="P135" s="86"/>
      <x:c r="Q135" s="80" t="str">
        <x:v>https://leetcode.com/problems/kth-smallest-element-in-a-bst/</x:v>
      </x:c>
      <x:c r="R135" s="80" t="str"/>
      <x:c r="S135" s="84" t="n">
        <x:f>IF(AND(OR(H135="Solved",H135="Revised"),G135="New (counts toward 400)"),1,0)</x:f>
        <x:v>0</x:v>
      </x:c>
    </x:row>
    <x:row r="136" ht="48" customHeight="1">
      <x:c r="A136" s="84" t="n">
        <x:v>133</x:v>
      </x:c>
      <x:c r="B136" s="84" t="n">
        <x:v>700</x:v>
      </x:c>
      <x:c r="C136" s="80" t="str">
        <x:v>Search in a Binary Search Tree</x:v>
      </x:c>
      <x:c r="D136" s="84" t="str">
        <x:v>Easy</x:v>
      </x:c>
      <x:c r="E136" s="84" t="str">
        <x:v>BST</x:v>
      </x:c>
      <x:c r="F136" s="84" t="str">
        <x:v>P2</x:v>
      </x:c>
      <x:c r="G136" s="84" t="str">
        <x:v>New (counts toward 400)</x:v>
      </x:c>
      <x:c r="H136" s="84" t="str">
        <x:v>Not Started</x:v>
      </x:c>
      <x:c r="I136" s="80" t="str">
        <x:v>Revisit subtrees repeatedly or enumerate candidate paths for each node.</x:v>
      </x:c>
      <x:c r="J136" s="80" t="str">
        <x:v>Use DFS for subtree/path state or BFS for levels; pass bounds or parent information explicitly.</x:v>
      </x:c>
      <x:c r="K136" s="80" t="str">
        <x:v>O(n) typical</x:v>
      </x:c>
      <x:c r="L136" s="80" t="str">
        <x:v>O(h) DFS or O(n) BFS</x:v>
      </x:c>
      <x:c r="M136" s="84" t="n">
        <x:v>0</x:v>
      </x:c>
      <x:c r="N136" s="86"/>
      <x:c r="O136" s="84"/>
      <x:c r="P136" s="86"/>
      <x:c r="Q136" s="80" t="str">
        <x:v>https://leetcode.com/problems/search-in-a-binary-search-tree/</x:v>
      </x:c>
      <x:c r="R136" s="80" t="str"/>
      <x:c r="S136" s="84" t="n">
        <x:f>IF(AND(OR(H136="Solved",H136="Revised"),G136="New (counts toward 400)"),1,0)</x:f>
        <x:v>0</x:v>
      </x:c>
    </x:row>
    <x:row r="137" ht="48" customHeight="1">
      <x:c r="A137" s="84" t="n">
        <x:v>134</x:v>
      </x:c>
      <x:c r="B137" s="84" t="n">
        <x:v>701</x:v>
      </x:c>
      <x:c r="C137" s="80" t="str">
        <x:v>Insert into a Binary Search Tree</x:v>
      </x:c>
      <x:c r="D137" s="84" t="str">
        <x:v>Medium</x:v>
      </x:c>
      <x:c r="E137" s="84" t="str">
        <x:v>BST</x:v>
      </x:c>
      <x:c r="F137" s="84" t="str">
        <x:v>P2</x:v>
      </x:c>
      <x:c r="G137" s="84" t="str">
        <x:v>New (counts toward 400)</x:v>
      </x:c>
      <x:c r="H137" s="84" t="str">
        <x:v>Not Started</x:v>
      </x:c>
      <x:c r="I137" s="80" t="str">
        <x:v>Revisit subtrees repeatedly or enumerate candidate paths for each node.</x:v>
      </x:c>
      <x:c r="J137" s="80" t="str">
        <x:v>Use DFS for subtree/path state or BFS for levels; pass bounds or parent information explicitly.</x:v>
      </x:c>
      <x:c r="K137" s="80" t="str">
        <x:v>O(n) typical</x:v>
      </x:c>
      <x:c r="L137" s="80" t="str">
        <x:v>O(h) DFS or O(n) BFS</x:v>
      </x:c>
      <x:c r="M137" s="84" t="n">
        <x:v>0</x:v>
      </x:c>
      <x:c r="N137" s="86"/>
      <x:c r="O137" s="84"/>
      <x:c r="P137" s="86"/>
      <x:c r="Q137" s="80" t="str">
        <x:v>https://leetcode.com/problems/insert-into-a-binary-search-tree/</x:v>
      </x:c>
      <x:c r="R137" s="80" t="str"/>
      <x:c r="S137" s="84" t="n">
        <x:f>IF(AND(OR(H137="Solved",H137="Revised"),G137="New (counts toward 400)"),1,0)</x:f>
        <x:v>0</x:v>
      </x:c>
    </x:row>
    <x:row r="138" ht="48" customHeight="1">
      <x:c r="A138" s="84" t="n">
        <x:v>135</x:v>
      </x:c>
      <x:c r="B138" s="84" t="n">
        <x:v>450</x:v>
      </x:c>
      <x:c r="C138" s="80" t="str">
        <x:v>Delete Node in a BST</x:v>
      </x:c>
      <x:c r="D138" s="84" t="str">
        <x:v>Medium</x:v>
      </x:c>
      <x:c r="E138" s="84" t="str">
        <x:v>BST</x:v>
      </x:c>
      <x:c r="F138" s="84" t="str">
        <x:v>P2</x:v>
      </x:c>
      <x:c r="G138" s="84" t="str">
        <x:v>New (counts toward 400)</x:v>
      </x:c>
      <x:c r="H138" s="84" t="str">
        <x:v>Not Started</x:v>
      </x:c>
      <x:c r="I138" s="80" t="str">
        <x:v>Revisit subtrees repeatedly or enumerate candidate paths for each node.</x:v>
      </x:c>
      <x:c r="J138" s="80" t="str">
        <x:v>Use DFS for subtree/path state or BFS for levels; pass bounds or parent information explicitly.</x:v>
      </x:c>
      <x:c r="K138" s="80" t="str">
        <x:v>O(n) typical</x:v>
      </x:c>
      <x:c r="L138" s="80" t="str">
        <x:v>O(h) DFS or O(n) BFS</x:v>
      </x:c>
      <x:c r="M138" s="84" t="n">
        <x:v>0</x:v>
      </x:c>
      <x:c r="N138" s="86"/>
      <x:c r="O138" s="84"/>
      <x:c r="P138" s="86"/>
      <x:c r="Q138" s="80" t="str">
        <x:v>https://leetcode.com/problems/delete-node-in-a-bst/</x:v>
      </x:c>
      <x:c r="R138" s="80" t="str"/>
      <x:c r="S138" s="84" t="n">
        <x:f>IF(AND(OR(H138="Solved",H138="Revised"),G138="New (counts toward 400)"),1,0)</x:f>
        <x:v>0</x:v>
      </x:c>
    </x:row>
    <x:row r="139" ht="48" customHeight="1">
      <x:c r="A139" s="84" t="n">
        <x:v>136</x:v>
      </x:c>
      <x:c r="B139" s="84" t="n">
        <x:v>108</x:v>
      </x:c>
      <x:c r="C139" s="80" t="str">
        <x:v>Convert Sorted Array to Binary Search Tree</x:v>
      </x:c>
      <x:c r="D139" s="84" t="str">
        <x:v>Easy</x:v>
      </x:c>
      <x:c r="E139" s="84" t="str">
        <x:v>BST / Divide and Conquer</x:v>
      </x:c>
      <x:c r="F139" s="84" t="str">
        <x:v>P2</x:v>
      </x:c>
      <x:c r="G139" s="84" t="str">
        <x:v>New (counts toward 400)</x:v>
      </x:c>
      <x:c r="H139" s="84" t="str">
        <x:v>Not Started</x:v>
      </x:c>
      <x:c r="I139" s="80" t="str">
        <x:v>Revisit subtrees repeatedly or enumerate candidate paths for each node.</x:v>
      </x:c>
      <x:c r="J139" s="80" t="str">
        <x:v>Use DFS for subtree/path state or BFS for levels; pass bounds or parent information explicitly.</x:v>
      </x:c>
      <x:c r="K139" s="80" t="str">
        <x:v>O(n) typical</x:v>
      </x:c>
      <x:c r="L139" s="80" t="str">
        <x:v>O(h) DFS or O(n) BFS</x:v>
      </x:c>
      <x:c r="M139" s="84" t="n">
        <x:v>0</x:v>
      </x:c>
      <x:c r="N139" s="86"/>
      <x:c r="O139" s="84"/>
      <x:c r="P139" s="86"/>
      <x:c r="Q139" s="80" t="str">
        <x:v>https://leetcode.com/problems/convert-sorted-array-to-binary-search-tree/</x:v>
      </x:c>
      <x:c r="R139" s="80" t="str"/>
      <x:c r="S139" s="84" t="n">
        <x:f>IF(AND(OR(H139="Solved",H139="Revised"),G139="New (counts toward 400)"),1,0)</x:f>
        <x:v>0</x:v>
      </x:c>
    </x:row>
    <x:row r="140" ht="48" customHeight="1">
      <x:c r="A140" s="84" t="n">
        <x:v>137</x:v>
      </x:c>
      <x:c r="B140" s="84" t="n">
        <x:v>105</x:v>
      </x:c>
      <x:c r="C140" s="80" t="str">
        <x:v>Construct Binary Tree from Preorder and Inorder Traversal</x:v>
      </x:c>
      <x:c r="D140" s="84" t="str">
        <x:v>Medium</x:v>
      </x:c>
      <x:c r="E140" s="84" t="str">
        <x:v>Tree / Divide and Conquer</x:v>
      </x:c>
      <x:c r="F140" s="84" t="str">
        <x:v>P1</x:v>
      </x:c>
      <x:c r="G140" s="84" t="str">
        <x:v>New (counts toward 400)</x:v>
      </x:c>
      <x:c r="H140" s="84" t="str">
        <x:v>Not Started</x:v>
      </x:c>
      <x:c r="I140" s="80" t="str">
        <x:v>Revisit subtrees repeatedly or enumerate candidate paths for each node.</x:v>
      </x:c>
      <x:c r="J140" s="80" t="str">
        <x:v>Use DFS for subtree/path state or BFS for levels; pass bounds or parent information explicitly.</x:v>
      </x:c>
      <x:c r="K140" s="80" t="str">
        <x:v>O(n) typical</x:v>
      </x:c>
      <x:c r="L140" s="80" t="str">
        <x:v>O(h) DFS or O(n) BFS</x:v>
      </x:c>
      <x:c r="M140" s="84" t="n">
        <x:v>0</x:v>
      </x:c>
      <x:c r="N140" s="86"/>
      <x:c r="O140" s="84"/>
      <x:c r="P140" s="86"/>
      <x:c r="Q140" s="80" t="str">
        <x:v>https://leetcode.com/problems/construct-binary-tree-from-preorder-and-inorder-traversal/</x:v>
      </x:c>
      <x:c r="R140" s="80" t="str"/>
      <x:c r="S140" s="84" t="n">
        <x:f>IF(AND(OR(H140="Solved",H140="Revised"),G140="New (counts toward 400)"),1,0)</x:f>
        <x:v>0</x:v>
      </x:c>
    </x:row>
    <x:row r="141" ht="48" customHeight="1">
      <x:c r="A141" s="84" t="n">
        <x:v>138</x:v>
      </x:c>
      <x:c r="B141" s="84" t="n">
        <x:v>106</x:v>
      </x:c>
      <x:c r="C141" s="80" t="str">
        <x:v>Construct Binary Tree from Inorder and Postorder Traversal</x:v>
      </x:c>
      <x:c r="D141" s="84" t="str">
        <x:v>Medium</x:v>
      </x:c>
      <x:c r="E141" s="84" t="str">
        <x:v>Tree / Divide and Conquer</x:v>
      </x:c>
      <x:c r="F141" s="84" t="str">
        <x:v>P2</x:v>
      </x:c>
      <x:c r="G141" s="84" t="str">
        <x:v>New (counts toward 400)</x:v>
      </x:c>
      <x:c r="H141" s="84" t="str">
        <x:v>Not Started</x:v>
      </x:c>
      <x:c r="I141" s="80" t="str">
        <x:v>Revisit subtrees repeatedly or enumerate candidate paths for each node.</x:v>
      </x:c>
      <x:c r="J141" s="80" t="str">
        <x:v>Use DFS for subtree/path state or BFS for levels; pass bounds or parent information explicitly.</x:v>
      </x:c>
      <x:c r="K141" s="80" t="str">
        <x:v>O(n) typical</x:v>
      </x:c>
      <x:c r="L141" s="80" t="str">
        <x:v>O(h) DFS or O(n) BFS</x:v>
      </x:c>
      <x:c r="M141" s="84" t="n">
        <x:v>0</x:v>
      </x:c>
      <x:c r="N141" s="86"/>
      <x:c r="O141" s="84"/>
      <x:c r="P141" s="86"/>
      <x:c r="Q141" s="80" t="str">
        <x:v>https://leetcode.com/problems/construct-binary-tree-from-inorder-and-postorder-traversal/</x:v>
      </x:c>
      <x:c r="R141" s="80" t="str"/>
      <x:c r="S141" s="84" t="n">
        <x:f>IF(AND(OR(H141="Solved",H141="Revised"),G141="New (counts toward 400)"),1,0)</x:f>
        <x:v>0</x:v>
      </x:c>
    </x:row>
    <x:row r="142" ht="48" customHeight="1">
      <x:c r="A142" s="84" t="n">
        <x:v>139</x:v>
      </x:c>
      <x:c r="B142" s="84" t="n">
        <x:v>297</x:v>
      </x:c>
      <x:c r="C142" s="80" t="str">
        <x:v>Serialize and Deserialize Binary Tree</x:v>
      </x:c>
      <x:c r="D142" s="84" t="str">
        <x:v>Hard</x:v>
      </x:c>
      <x:c r="E142" s="84" t="str">
        <x:v>Tree / BFS / DFS</x:v>
      </x:c>
      <x:c r="F142" s="84" t="str">
        <x:v>P1</x:v>
      </x:c>
      <x:c r="G142" s="84" t="str">
        <x:v>New (counts toward 400)</x:v>
      </x:c>
      <x:c r="H142" s="84" t="str">
        <x:v>Not Started</x:v>
      </x:c>
      <x:c r="I142" s="80" t="str">
        <x:v>Repeatedly scan/rebuild subtrees to encode structure.</x:v>
      </x:c>
      <x:c r="J142" s="80" t="str">
        <x:v>Use a consistent preorder-with-null-markers or level-order encoding and consume it in the same order.</x:v>
      </x:c>
      <x:c r="K142" s="80" t="str">
        <x:v>O(n)</x:v>
      </x:c>
      <x:c r="L142" s="80" t="str">
        <x:v>O(n)</x:v>
      </x:c>
      <x:c r="M142" s="84" t="n">
        <x:v>0</x:v>
      </x:c>
      <x:c r="N142" s="86"/>
      <x:c r="O142" s="84"/>
      <x:c r="P142" s="86"/>
      <x:c r="Q142" s="80" t="str">
        <x:v>https://leetcode.com/problems/serialize-and-deserialize-binary-tree/</x:v>
      </x:c>
      <x:c r="R142" s="80" t="str"/>
      <x:c r="S142" s="84" t="n">
        <x:f>IF(AND(OR(H142="Solved",H142="Revised"),G142="New (counts toward 400)"),1,0)</x:f>
        <x:v>0</x:v>
      </x:c>
    </x:row>
    <x:row r="143" ht="48" customHeight="1">
      <x:c r="A143" s="84" t="n">
        <x:v>140</x:v>
      </x:c>
      <x:c r="B143" s="84" t="n">
        <x:v>114</x:v>
      </x:c>
      <x:c r="C143" s="80" t="str">
        <x:v>Flatten Binary Tree to Linked List</x:v>
      </x:c>
      <x:c r="D143" s="84" t="str">
        <x:v>Medium</x:v>
      </x:c>
      <x:c r="E143" s="84" t="str">
        <x:v>Tree / DFS</x:v>
      </x:c>
      <x:c r="F143" s="84" t="str">
        <x:v>P1</x:v>
      </x:c>
      <x:c r="G143" s="84" t="str">
        <x:v>New (counts toward 400)</x:v>
      </x:c>
      <x:c r="H143" s="84" t="str">
        <x:v>Not Started</x:v>
      </x:c>
      <x:c r="I143" s="80" t="str">
        <x:v>Revisit subtrees repeatedly or enumerate candidate paths for each node.</x:v>
      </x:c>
      <x:c r="J143" s="80" t="str">
        <x:v>Use DFS for subtree/path state or BFS for levels; pass bounds or parent information explicitly.</x:v>
      </x:c>
      <x:c r="K143" s="80" t="str">
        <x:v>O(n) typical</x:v>
      </x:c>
      <x:c r="L143" s="80" t="str">
        <x:v>O(h) DFS or O(n) BFS</x:v>
      </x:c>
      <x:c r="M143" s="84" t="n">
        <x:v>0</x:v>
      </x:c>
      <x:c r="N143" s="86"/>
      <x:c r="O143" s="84"/>
      <x:c r="P143" s="86"/>
      <x:c r="Q143" s="80" t="str">
        <x:v>https://leetcode.com/problems/flatten-binary-tree-to-linked-list/</x:v>
      </x:c>
      <x:c r="R143" s="80" t="str"/>
      <x:c r="S143" s="84" t="n">
        <x:f>IF(AND(OR(H143="Solved",H143="Revised"),G143="New (counts toward 400)"),1,0)</x:f>
        <x:v>0</x:v>
      </x:c>
    </x:row>
    <x:row r="144" ht="48" customHeight="1">
      <x:c r="A144" s="84" t="n">
        <x:v>141</x:v>
      </x:c>
      <x:c r="B144" s="84" t="n">
        <x:v>116</x:v>
      </x:c>
      <x:c r="C144" s="80" t="str">
        <x:v>Populating Next Right Pointers in Each Node</x:v>
      </x:c>
      <x:c r="D144" s="84" t="str">
        <x:v>Medium</x:v>
      </x:c>
      <x:c r="E144" s="84" t="str">
        <x:v>Tree / BFS</x:v>
      </x:c>
      <x:c r="F144" s="84" t="str">
        <x:v>P2</x:v>
      </x:c>
      <x:c r="G144" s="84" t="str">
        <x:v>New (counts toward 400)</x:v>
      </x:c>
      <x:c r="H144" s="84" t="str">
        <x:v>Not Started</x:v>
      </x:c>
      <x:c r="I144" s="80" t="str">
        <x:v>Revisit subtrees repeatedly or enumerate candidate paths for each node.</x:v>
      </x:c>
      <x:c r="J144" s="80" t="str">
        <x:v>Use DFS for subtree/path state or BFS for levels; pass bounds or parent information explicitly.</x:v>
      </x:c>
      <x:c r="K144" s="80" t="str">
        <x:v>O(n) typical</x:v>
      </x:c>
      <x:c r="L144" s="80" t="str">
        <x:v>O(h) DFS or O(n) BFS</x:v>
      </x:c>
      <x:c r="M144" s="84" t="n">
        <x:v>0</x:v>
      </x:c>
      <x:c r="N144" s="86"/>
      <x:c r="O144" s="84"/>
      <x:c r="P144" s="86"/>
      <x:c r="Q144" s="80" t="str">
        <x:v>https://leetcode.com/problems/populating-next-right-pointers-in-each-node/</x:v>
      </x:c>
      <x:c r="R144" s="80" t="str"/>
      <x:c r="S144" s="84" t="n">
        <x:f>IF(AND(OR(H144="Solved",H144="Revised"),G144="New (counts toward 400)"),1,0)</x:f>
        <x:v>0</x:v>
      </x:c>
    </x:row>
    <x:row r="145" ht="48" customHeight="1">
      <x:c r="A145" s="84" t="n">
        <x:v>142</x:v>
      </x:c>
      <x:c r="B145" s="84" t="n">
        <x:v>117</x:v>
      </x:c>
      <x:c r="C145" s="80" t="str">
        <x:v>Populating Next Right Pointers in Each Node II</x:v>
      </x:c>
      <x:c r="D145" s="84" t="str">
        <x:v>Medium</x:v>
      </x:c>
      <x:c r="E145" s="84" t="str">
        <x:v>Tree / BFS</x:v>
      </x:c>
      <x:c r="F145" s="84" t="str">
        <x:v>P2</x:v>
      </x:c>
      <x:c r="G145" s="84" t="str">
        <x:v>New (counts toward 400)</x:v>
      </x:c>
      <x:c r="H145" s="84" t="str">
        <x:v>Not Started</x:v>
      </x:c>
      <x:c r="I145" s="80" t="str">
        <x:v>Revisit subtrees repeatedly or enumerate candidate paths for each node.</x:v>
      </x:c>
      <x:c r="J145" s="80" t="str">
        <x:v>Use DFS for subtree/path state or BFS for levels; pass bounds or parent information explicitly.</x:v>
      </x:c>
      <x:c r="K145" s="80" t="str">
        <x:v>O(n) typical</x:v>
      </x:c>
      <x:c r="L145" s="80" t="str">
        <x:v>O(h) DFS or O(n) BFS</x:v>
      </x:c>
      <x:c r="M145" s="84" t="n">
        <x:v>0</x:v>
      </x:c>
      <x:c r="N145" s="86"/>
      <x:c r="O145" s="84"/>
      <x:c r="P145" s="86"/>
      <x:c r="Q145" s="80" t="str">
        <x:v>https://leetcode.com/problems/populating-next-right-pointers-in-each-node-ii/</x:v>
      </x:c>
      <x:c r="R145" s="80" t="str"/>
      <x:c r="S145" s="84" t="n">
        <x:f>IF(AND(OR(H145="Solved",H145="Revised"),G145="New (counts toward 400)"),1,0)</x:f>
        <x:v>0</x:v>
      </x:c>
    </x:row>
    <x:row r="146" ht="48" customHeight="1">
      <x:c r="A146" s="84" t="n">
        <x:v>143</x:v>
      </x:c>
      <x:c r="B146" s="84" t="n">
        <x:v>662</x:v>
      </x:c>
      <x:c r="C146" s="80" t="str">
        <x:v>Maximum Width of Binary Tree</x:v>
      </x:c>
      <x:c r="D146" s="84" t="str">
        <x:v>Medium</x:v>
      </x:c>
      <x:c r="E146" s="84" t="str">
        <x:v>Tree / BFS</x:v>
      </x:c>
      <x:c r="F146" s="84" t="str">
        <x:v>P2</x:v>
      </x:c>
      <x:c r="G146" s="84" t="str">
        <x:v>New (counts toward 400)</x:v>
      </x:c>
      <x:c r="H146" s="84" t="str">
        <x:v>Not Started</x:v>
      </x:c>
      <x:c r="I146" s="80" t="str">
        <x:v>Revisit subtrees repeatedly or enumerate candidate paths for each node.</x:v>
      </x:c>
      <x:c r="J146" s="80" t="str">
        <x:v>Use DFS for subtree/path state or BFS for levels; pass bounds or parent information explicitly.</x:v>
      </x:c>
      <x:c r="K146" s="80" t="str">
        <x:v>O(n) typical</x:v>
      </x:c>
      <x:c r="L146" s="80" t="str">
        <x:v>O(h) DFS or O(n) BFS</x:v>
      </x:c>
      <x:c r="M146" s="84" t="n">
        <x:v>0</x:v>
      </x:c>
      <x:c r="N146" s="86"/>
      <x:c r="O146" s="84"/>
      <x:c r="P146" s="86"/>
      <x:c r="Q146" s="80" t="str">
        <x:v>https://leetcode.com/problems/maximum-width-of-binary-tree/</x:v>
      </x:c>
      <x:c r="R146" s="80" t="str"/>
      <x:c r="S146" s="84" t="n">
        <x:f>IF(AND(OR(H146="Solved",H146="Revised"),G146="New (counts toward 400)"),1,0)</x:f>
        <x:v>0</x:v>
      </x:c>
    </x:row>
    <x:row r="147" ht="48" customHeight="1">
      <x:c r="A147" s="84" t="n">
        <x:v>144</x:v>
      </x:c>
      <x:c r="B147" s="84" t="n">
        <x:v>968</x:v>
      </x:c>
      <x:c r="C147" s="80" t="str">
        <x:v>Binary Tree Cameras</x:v>
      </x:c>
      <x:c r="D147" s="84" t="str">
        <x:v>Hard</x:v>
      </x:c>
      <x:c r="E147" s="84" t="str">
        <x:v>Tree / Greedy / DFS</x:v>
      </x:c>
      <x:c r="F147" s="84" t="str">
        <x:v>P3</x:v>
      </x:c>
      <x:c r="G147" s="84" t="str">
        <x:v>New (counts toward 400)</x:v>
      </x:c>
      <x:c r="H147" s="84" t="str">
        <x:v>Not Started</x:v>
      </x:c>
      <x:c r="I147" s="80" t="str">
        <x:v>Revisit subtrees repeatedly or enumerate candidate paths for each node.</x:v>
      </x:c>
      <x:c r="J147" s="80" t="str">
        <x:v>Use DFS for subtree/path state or BFS for levels; pass bounds or parent information explicitly.</x:v>
      </x:c>
      <x:c r="K147" s="80" t="str">
        <x:v>O(n) typical</x:v>
      </x:c>
      <x:c r="L147" s="80" t="str">
        <x:v>O(h) DFS or O(n) BFS</x:v>
      </x:c>
      <x:c r="M147" s="84" t="n">
        <x:v>0</x:v>
      </x:c>
      <x:c r="N147" s="86"/>
      <x:c r="O147" s="84"/>
      <x:c r="P147" s="86"/>
      <x:c r="Q147" s="80" t="str">
        <x:v>https://leetcode.com/problems/binary-tree-cameras/</x:v>
      </x:c>
      <x:c r="R147" s="80" t="str"/>
      <x:c r="S147" s="84" t="n">
        <x:f>IF(AND(OR(H147="Solved",H147="Revised"),G147="New (counts toward 400)"),1,0)</x:f>
        <x:v>0</x:v>
      </x:c>
    </x:row>
    <x:row r="148" ht="48" customHeight="1">
      <x:c r="A148" s="84" t="n">
        <x:v>145</x:v>
      </x:c>
      <x:c r="B148" s="84" t="n">
        <x:v>337</x:v>
      </x:c>
      <x:c r="C148" s="80" t="str">
        <x:v>House Robber III</x:v>
      </x:c>
      <x:c r="D148" s="84" t="str">
        <x:v>Medium</x:v>
      </x:c>
      <x:c r="E148" s="84" t="str">
        <x:v>Tree DP</x:v>
      </x:c>
      <x:c r="F148" s="84" t="str">
        <x:v>P1</x:v>
      </x:c>
      <x:c r="G148" s="84" t="str">
        <x:v>New (counts toward 400)</x:v>
      </x:c>
      <x:c r="H148" s="84" t="str">
        <x:v>Not Started</x:v>
      </x:c>
      <x:c r="I148" s="80" t="str">
        <x:v>Revisit subtrees repeatedly or enumerate candidate paths for each node.</x:v>
      </x:c>
      <x:c r="J148" s="80" t="str">
        <x:v>Use DFS for subtree/path state or BFS for levels; pass bounds or parent information explicitly.</x:v>
      </x:c>
      <x:c r="K148" s="80" t="str">
        <x:v>O(n) typical</x:v>
      </x:c>
      <x:c r="L148" s="80" t="str">
        <x:v>O(h) DFS or O(n) BFS</x:v>
      </x:c>
      <x:c r="M148" s="84" t="n">
        <x:v>0</x:v>
      </x:c>
      <x:c r="N148" s="86"/>
      <x:c r="O148" s="84"/>
      <x:c r="P148" s="86"/>
      <x:c r="Q148" s="80" t="str">
        <x:v>https://leetcode.com/problems/house-robber-iii/</x:v>
      </x:c>
      <x:c r="R148" s="80" t="str"/>
      <x:c r="S148" s="84" t="n">
        <x:f>IF(AND(OR(H148="Solved",H148="Revised"),G148="New (counts toward 400)"),1,0)</x:f>
        <x:v>0</x:v>
      </x:c>
    </x:row>
    <x:row r="149" ht="48" customHeight="1">
      <x:c r="A149" s="84" t="n">
        <x:v>146</x:v>
      </x:c>
      <x:c r="B149" s="84" t="n">
        <x:v>863</x:v>
      </x:c>
      <x:c r="C149" s="80" t="str">
        <x:v>All Nodes Distance K in Binary Tree</x:v>
      </x:c>
      <x:c r="D149" s="84" t="str">
        <x:v>Medium</x:v>
      </x:c>
      <x:c r="E149" s="84" t="str">
        <x:v>Tree / BFS / DFS</x:v>
      </x:c>
      <x:c r="F149" s="84" t="str">
        <x:v>P1</x:v>
      </x:c>
      <x:c r="G149" s="84" t="str">
        <x:v>New (counts toward 400)</x:v>
      </x:c>
      <x:c r="H149" s="84" t="str">
        <x:v>Not Started</x:v>
      </x:c>
      <x:c r="I149" s="80" t="str">
        <x:v>Revisit subtrees repeatedly or enumerate candidate paths for each node.</x:v>
      </x:c>
      <x:c r="J149" s="80" t="str">
        <x:v>Use DFS for subtree/path state or BFS for levels; pass bounds or parent information explicitly.</x:v>
      </x:c>
      <x:c r="K149" s="80" t="str">
        <x:v>O(n) typical</x:v>
      </x:c>
      <x:c r="L149" s="80" t="str">
        <x:v>O(h) DFS or O(n) BFS</x:v>
      </x:c>
      <x:c r="M149" s="84" t="n">
        <x:v>0</x:v>
      </x:c>
      <x:c r="N149" s="86"/>
      <x:c r="O149" s="84"/>
      <x:c r="P149" s="86"/>
      <x:c r="Q149" s="80" t="str">
        <x:v>https://leetcode.com/problems/all-nodes-distance-k-in-binary-tree/</x:v>
      </x:c>
      <x:c r="R149" s="80" t="str"/>
      <x:c r="S149" s="84" t="n">
        <x:f>IF(AND(OR(H149="Solved",H149="Revised"),G149="New (counts toward 400)"),1,0)</x:f>
        <x:v>0</x:v>
      </x:c>
    </x:row>
    <x:row r="150" ht="48" customHeight="1">
      <x:c r="A150" s="84" t="n">
        <x:v>147</x:v>
      </x:c>
      <x:c r="B150" s="84" t="n">
        <x:v>222</x:v>
      </x:c>
      <x:c r="C150" s="80" t="str">
        <x:v>Count Complete Tree Nodes</x:v>
      </x:c>
      <x:c r="D150" s="84" t="str">
        <x:v>Easy</x:v>
      </x:c>
      <x:c r="E150" s="84" t="str">
        <x:v>Tree / Binary Search</x:v>
      </x:c>
      <x:c r="F150" s="84" t="str">
        <x:v>P2</x:v>
      </x:c>
      <x:c r="G150" s="84" t="str">
        <x:v>New (counts toward 400)</x:v>
      </x:c>
      <x:c r="H150" s="84" t="str">
        <x:v>Not Started</x:v>
      </x:c>
      <x:c r="I150" s="80" t="str">
        <x:v>Scan all candidates or test each possible answer.</x:v>
      </x:c>
      <x:c r="J150" s="80" t="str">
        <x:v>State the sorted/monotonic invariant and halve the interval; for answer search, define a feasibility check.</x:v>
      </x:c>
      <x:c r="K150" s="80" t="str">
        <x:v>O(log n) or O(n log range)</x:v>
      </x:c>
      <x:c r="L150" s="80" t="str">
        <x:v>O(1) extra</x:v>
      </x:c>
      <x:c r="M150" s="84" t="n">
        <x:v>0</x:v>
      </x:c>
      <x:c r="N150" s="86"/>
      <x:c r="O150" s="84"/>
      <x:c r="P150" s="86"/>
      <x:c r="Q150" s="80" t="str">
        <x:v>https://leetcode.com/problems/count-complete-tree-nodes/</x:v>
      </x:c>
      <x:c r="R150" s="80" t="str"/>
      <x:c r="S150" s="84" t="n">
        <x:f>IF(AND(OR(H150="Solved",H150="Revised"),G150="New (counts toward 400)"),1,0)</x:f>
        <x:v>0</x:v>
      </x:c>
    </x:row>
    <x:row r="151" ht="48" customHeight="1">
      <x:c r="A151" s="84" t="n">
        <x:v>148</x:v>
      </x:c>
      <x:c r="B151" s="84" t="n">
        <x:v>652</x:v>
      </x:c>
      <x:c r="C151" s="80" t="str">
        <x:v>Find Duplicate Subtrees</x:v>
      </x:c>
      <x:c r="D151" s="84" t="str">
        <x:v>Medium</x:v>
      </x:c>
      <x:c r="E151" s="84" t="str">
        <x:v>Tree / Serialization / Hashing</x:v>
      </x:c>
      <x:c r="F151" s="84" t="str">
        <x:v>P2</x:v>
      </x:c>
      <x:c r="G151" s="84" t="str">
        <x:v>New (counts toward 400)</x:v>
      </x:c>
      <x:c r="H151" s="84" t="str">
        <x:v>Not Started</x:v>
      </x:c>
      <x:c r="I151" s="80" t="str">
        <x:v>Revisit subtrees repeatedly or enumerate candidate paths for each node.</x:v>
      </x:c>
      <x:c r="J151" s="80" t="str">
        <x:v>Use DFS for subtree/path state or BFS for levels; pass bounds or parent information explicitly.</x:v>
      </x:c>
      <x:c r="K151" s="80" t="str">
        <x:v>O(n) typical</x:v>
      </x:c>
      <x:c r="L151" s="80" t="str">
        <x:v>O(h) DFS or O(n) BFS</x:v>
      </x:c>
      <x:c r="M151" s="84" t="n">
        <x:v>0</x:v>
      </x:c>
      <x:c r="N151" s="86"/>
      <x:c r="O151" s="84"/>
      <x:c r="P151" s="86"/>
      <x:c r="Q151" s="80" t="str">
        <x:v>https://leetcode.com/problems/find-duplicate-subtrees/</x:v>
      </x:c>
      <x:c r="R151" s="80" t="str"/>
      <x:c r="S151" s="84" t="n">
        <x:f>IF(AND(OR(H151="Solved",H151="Revised"),G151="New (counts toward 400)"),1,0)</x:f>
        <x:v>0</x:v>
      </x:c>
    </x:row>
    <x:row r="152" ht="48" customHeight="1">
      <x:c r="A152" s="84" t="n">
        <x:v>149</x:v>
      </x:c>
      <x:c r="B152" s="84" t="n">
        <x:v>173</x:v>
      </x:c>
      <x:c r="C152" s="80" t="str">
        <x:v>Binary Search Tree Iterator</x:v>
      </x:c>
      <x:c r="D152" s="84" t="str">
        <x:v>Medium</x:v>
      </x:c>
      <x:c r="E152" s="84" t="str">
        <x:v>BST / Stack</x:v>
      </x:c>
      <x:c r="F152" s="84" t="str">
        <x:v>P2</x:v>
      </x:c>
      <x:c r="G152" s="84" t="str">
        <x:v>New (counts toward 400)</x:v>
      </x:c>
      <x:c r="H152" s="84" t="str">
        <x:v>Not Started</x:v>
      </x:c>
      <x:c r="I152" s="80" t="str">
        <x:v>Revisit subtrees repeatedly or enumerate candidate paths for each node.</x:v>
      </x:c>
      <x:c r="J152" s="80" t="str">
        <x:v>Use DFS for subtree/path state or BFS for levels; pass bounds or parent information explicitly.</x:v>
      </x:c>
      <x:c r="K152" s="80" t="str">
        <x:v>O(n) typical</x:v>
      </x:c>
      <x:c r="L152" s="80" t="str">
        <x:v>O(h) DFS or O(n) BFS</x:v>
      </x:c>
      <x:c r="M152" s="84" t="n">
        <x:v>0</x:v>
      </x:c>
      <x:c r="N152" s="86"/>
      <x:c r="O152" s="84"/>
      <x:c r="P152" s="86"/>
      <x:c r="Q152" s="80" t="str">
        <x:v>https://leetcode.com/problems/binary-search-tree-iterator/</x:v>
      </x:c>
      <x:c r="R152" s="80" t="str"/>
      <x:c r="S152" s="84" t="n">
        <x:f>IF(AND(OR(H152="Solved",H152="Revised"),G152="New (counts toward 400)"),1,0)</x:f>
        <x:v>0</x:v>
      </x:c>
    </x:row>
    <x:row r="153" ht="48" customHeight="1">
      <x:c r="A153" s="84" t="n">
        <x:v>150</x:v>
      </x:c>
      <x:c r="B153" s="84" t="n">
        <x:v>704</x:v>
      </x:c>
      <x:c r="C153" s="80" t="str">
        <x:v>Binary Search</x:v>
      </x:c>
      <x:c r="D153" s="84" t="str">
        <x:v>Easy</x:v>
      </x:c>
      <x:c r="E153" s="84" t="str">
        <x:v>Binary Search</x:v>
      </x:c>
      <x:c r="F153" s="84" t="str">
        <x:v>P1</x:v>
      </x:c>
      <x:c r="G153" s="84" t="str">
        <x:v>New (counts toward 400)</x:v>
      </x:c>
      <x:c r="H153" s="84" t="str">
        <x:v>Not Started</x:v>
      </x:c>
      <x:c r="I153" s="80" t="str">
        <x:v>Scan all elements (O(n)).</x:v>
      </x:c>
      <x:c r="J153" s="80" t="str">
        <x:v>Maintain a sorted interval and discard half after every comparison.</x:v>
      </x:c>
      <x:c r="K153" s="80" t="str">
        <x:v>O(log n)</x:v>
      </x:c>
      <x:c r="L153" s="80" t="str">
        <x:v>O(1)</x:v>
      </x:c>
      <x:c r="M153" s="84" t="n">
        <x:v>0</x:v>
      </x:c>
      <x:c r="N153" s="86"/>
      <x:c r="O153" s="84"/>
      <x:c r="P153" s="86"/>
      <x:c r="Q153" s="80" t="str">
        <x:v>https://leetcode.com/problems/binary-search/</x:v>
      </x:c>
      <x:c r="R153" s="80" t="str"/>
      <x:c r="S153" s="84" t="n">
        <x:f>IF(AND(OR(H153="Solved",H153="Revised"),G153="New (counts toward 400)"),1,0)</x:f>
        <x:v>0</x:v>
      </x:c>
    </x:row>
    <x:row r="154" ht="48" customHeight="1">
      <x:c r="A154" s="84" t="n">
        <x:v>151</x:v>
      </x:c>
      <x:c r="B154" s="84" t="n">
        <x:v>35</x:v>
      </x:c>
      <x:c r="C154" s="80" t="str">
        <x:v>Search Insert Position</x:v>
      </x:c>
      <x:c r="D154" s="84" t="str">
        <x:v>Easy</x:v>
      </x:c>
      <x:c r="E154" s="84" t="str">
        <x:v>Binary Search</x:v>
      </x:c>
      <x:c r="F154" s="84" t="str">
        <x:v>P1</x:v>
      </x:c>
      <x:c r="G154" s="84" t="str">
        <x:v>New (counts toward 400)</x:v>
      </x:c>
      <x:c r="H154" s="84" t="str">
        <x:v>Not Started</x:v>
      </x:c>
      <x:c r="I154" s="80" t="str">
        <x:v>Scan all candidates or test each possible answer.</x:v>
      </x:c>
      <x:c r="J154" s="80" t="str">
        <x:v>State the sorted/monotonic invariant and halve the interval; for answer search, define a feasibility check.</x:v>
      </x:c>
      <x:c r="K154" s="80" t="str">
        <x:v>O(log n) or O(n log range)</x:v>
      </x:c>
      <x:c r="L154" s="80" t="str">
        <x:v>O(1) extra</x:v>
      </x:c>
      <x:c r="M154" s="84" t="n">
        <x:v>0</x:v>
      </x:c>
      <x:c r="N154" s="86"/>
      <x:c r="O154" s="84"/>
      <x:c r="P154" s="86"/>
      <x:c r="Q154" s="80" t="str">
        <x:v>https://leetcode.com/problems/search-insert-position/</x:v>
      </x:c>
      <x:c r="R154" s="80" t="str"/>
      <x:c r="S154" s="84" t="n">
        <x:f>IF(AND(OR(H154="Solved",H154="Revised"),G154="New (counts toward 400)"),1,0)</x:f>
        <x:v>0</x:v>
      </x:c>
    </x:row>
    <x:row r="155" ht="48" customHeight="1">
      <x:c r="A155" s="84" t="n">
        <x:v>152</x:v>
      </x:c>
      <x:c r="B155" s="84" t="n">
        <x:v>34</x:v>
      </x:c>
      <x:c r="C155" s="80" t="str">
        <x:v>Find First and Last Position of Element in Sorted Array</x:v>
      </x:c>
      <x:c r="D155" s="84" t="str">
        <x:v>Medium</x:v>
      </x:c>
      <x:c r="E155" s="84" t="str">
        <x:v>Binary Search</x:v>
      </x:c>
      <x:c r="F155" s="84" t="str">
        <x:v>P1</x:v>
      </x:c>
      <x:c r="G155" s="84" t="str">
        <x:v>New (counts toward 400)</x:v>
      </x:c>
      <x:c r="H155" s="84" t="str">
        <x:v>Not Started</x:v>
      </x:c>
      <x:c r="I155" s="80" t="str">
        <x:v>Scan all candidates or test each possible answer.</x:v>
      </x:c>
      <x:c r="J155" s="80" t="str">
        <x:v>State the sorted/monotonic invariant and halve the interval; for answer search, define a feasibility check.</x:v>
      </x:c>
      <x:c r="K155" s="80" t="str">
        <x:v>O(log n) or O(n log range)</x:v>
      </x:c>
      <x:c r="L155" s="80" t="str">
        <x:v>O(1) extra</x:v>
      </x:c>
      <x:c r="M155" s="84" t="n">
        <x:v>0</x:v>
      </x:c>
      <x:c r="N155" s="86"/>
      <x:c r="O155" s="84"/>
      <x:c r="P155" s="86"/>
      <x:c r="Q155" s="80" t="str">
        <x:v>https://leetcode.com/problems/find-first-and-last-position-of-element-in-sorted-array/</x:v>
      </x:c>
      <x:c r="R155" s="80" t="str"/>
      <x:c r="S155" s="84" t="n">
        <x:f>IF(AND(OR(H155="Solved",H155="Revised"),G155="New (counts toward 400)"),1,0)</x:f>
        <x:v>0</x:v>
      </x:c>
    </x:row>
    <x:row r="156" ht="48" customHeight="1">
      <x:c r="A156" s="84" t="n">
        <x:v>153</x:v>
      </x:c>
      <x:c r="B156" s="84" t="n">
        <x:v>33</x:v>
      </x:c>
      <x:c r="C156" s="80" t="str">
        <x:v>Search in Rotated Sorted Array</x:v>
      </x:c>
      <x:c r="D156" s="84" t="str">
        <x:v>Medium</x:v>
      </x:c>
      <x:c r="E156" s="84" t="str">
        <x:v>Binary Search</x:v>
      </x:c>
      <x:c r="F156" s="84" t="str">
        <x:v>P1</x:v>
      </x:c>
      <x:c r="G156" s="84" t="str">
        <x:v>New (counts toward 400)</x:v>
      </x:c>
      <x:c r="H156" s="84" t="str">
        <x:v>Not Started</x:v>
      </x:c>
      <x:c r="I156" s="80" t="str">
        <x:v>Scan all elements.</x:v>
      </x:c>
      <x:c r="J156" s="80" t="str">
        <x:v>Binary-search the sorted half, then keep the half that could contain target.</x:v>
      </x:c>
      <x:c r="K156" s="80" t="str">
        <x:v>O(log n)</x:v>
      </x:c>
      <x:c r="L156" s="80" t="str">
        <x:v>O(1)</x:v>
      </x:c>
      <x:c r="M156" s="84" t="n">
        <x:v>0</x:v>
      </x:c>
      <x:c r="N156" s="86"/>
      <x:c r="O156" s="84"/>
      <x:c r="P156" s="86"/>
      <x:c r="Q156" s="80" t="str">
        <x:v>https://leetcode.com/problems/search-in-rotated-sorted-array/</x:v>
      </x:c>
      <x:c r="R156" s="80" t="str"/>
      <x:c r="S156" s="84" t="n">
        <x:f>IF(AND(OR(H156="Solved",H156="Revised"),G156="New (counts toward 400)"),1,0)</x:f>
        <x:v>0</x:v>
      </x:c>
    </x:row>
    <x:row r="157" ht="48" customHeight="1">
      <x:c r="A157" s="84" t="n">
        <x:v>154</x:v>
      </x:c>
      <x:c r="B157" s="84" t="n">
        <x:v>81</x:v>
      </x:c>
      <x:c r="C157" s="80" t="str">
        <x:v>Search in Rotated Sorted Array II</x:v>
      </x:c>
      <x:c r="D157" s="84" t="str">
        <x:v>Medium</x:v>
      </x:c>
      <x:c r="E157" s="84" t="str">
        <x:v>Binary Search</x:v>
      </x:c>
      <x:c r="F157" s="84" t="str">
        <x:v>P2</x:v>
      </x:c>
      <x:c r="G157" s="84" t="str">
        <x:v>New (counts toward 400)</x:v>
      </x:c>
      <x:c r="H157" s="84" t="str">
        <x:v>Not Started</x:v>
      </x:c>
      <x:c r="I157" s="80" t="str">
        <x:v>Scan all candidates or test each possible answer.</x:v>
      </x:c>
      <x:c r="J157" s="80" t="str">
        <x:v>State the sorted/monotonic invariant and halve the interval; for answer search, define a feasibility check.</x:v>
      </x:c>
      <x:c r="K157" s="80" t="str">
        <x:v>O(log n) or O(n log range)</x:v>
      </x:c>
      <x:c r="L157" s="80" t="str">
        <x:v>O(1) extra</x:v>
      </x:c>
      <x:c r="M157" s="84" t="n">
        <x:v>0</x:v>
      </x:c>
      <x:c r="N157" s="86"/>
      <x:c r="O157" s="84"/>
      <x:c r="P157" s="86"/>
      <x:c r="Q157" s="80" t="str">
        <x:v>https://leetcode.com/problems/search-in-rotated-sorted-array-ii/</x:v>
      </x:c>
      <x:c r="R157" s="80" t="str"/>
      <x:c r="S157" s="84" t="n">
        <x:f>IF(AND(OR(H157="Solved",H157="Revised"),G157="New (counts toward 400)"),1,0)</x:f>
        <x:v>0</x:v>
      </x:c>
    </x:row>
    <x:row r="158" ht="48" customHeight="1">
      <x:c r="A158" s="84" t="n">
        <x:v>155</x:v>
      </x:c>
      <x:c r="B158" s="84" t="n">
        <x:v>153</x:v>
      </x:c>
      <x:c r="C158" s="80" t="str">
        <x:v>Find Minimum in Rotated Sorted Array</x:v>
      </x:c>
      <x:c r="D158" s="84" t="str">
        <x:v>Medium</x:v>
      </x:c>
      <x:c r="E158" s="84" t="str">
        <x:v>Binary Search</x:v>
      </x:c>
      <x:c r="F158" s="84" t="str">
        <x:v>P1</x:v>
      </x:c>
      <x:c r="G158" s="84" t="str">
        <x:v>New (counts toward 400)</x:v>
      </x:c>
      <x:c r="H158" s="84" t="str">
        <x:v>Not Started</x:v>
      </x:c>
      <x:c r="I158" s="80" t="str">
        <x:v>Scan all candidates or test each possible answer.</x:v>
      </x:c>
      <x:c r="J158" s="80" t="str">
        <x:v>State the sorted/monotonic invariant and halve the interval; for answer search, define a feasibility check.</x:v>
      </x:c>
      <x:c r="K158" s="80" t="str">
        <x:v>O(log n) or O(n log range)</x:v>
      </x:c>
      <x:c r="L158" s="80" t="str">
        <x:v>O(1) extra</x:v>
      </x:c>
      <x:c r="M158" s="84" t="n">
        <x:v>0</x:v>
      </x:c>
      <x:c r="N158" s="86"/>
      <x:c r="O158" s="84"/>
      <x:c r="P158" s="86"/>
      <x:c r="Q158" s="80" t="str">
        <x:v>https://leetcode.com/problems/find-minimum-in-rotated-sorted-array/</x:v>
      </x:c>
      <x:c r="R158" s="80" t="str"/>
      <x:c r="S158" s="84" t="n">
        <x:f>IF(AND(OR(H158="Solved",H158="Revised"),G158="New (counts toward 400)"),1,0)</x:f>
        <x:v>0</x:v>
      </x:c>
    </x:row>
    <x:row r="159" ht="48" customHeight="1">
      <x:c r="A159" s="84" t="n">
        <x:v>156</x:v>
      </x:c>
      <x:c r="B159" s="84" t="n">
        <x:v>154</x:v>
      </x:c>
      <x:c r="C159" s="80" t="str">
        <x:v>Find Minimum in Rotated Sorted Array II</x:v>
      </x:c>
      <x:c r="D159" s="84" t="str">
        <x:v>Hard</x:v>
      </x:c>
      <x:c r="E159" s="84" t="str">
        <x:v>Binary Search</x:v>
      </x:c>
      <x:c r="F159" s="84" t="str">
        <x:v>P2</x:v>
      </x:c>
      <x:c r="G159" s="84" t="str">
        <x:v>New (counts toward 400)</x:v>
      </x:c>
      <x:c r="H159" s="84" t="str">
        <x:v>Not Started</x:v>
      </x:c>
      <x:c r="I159" s="80" t="str">
        <x:v>Scan all candidates or test each possible answer.</x:v>
      </x:c>
      <x:c r="J159" s="80" t="str">
        <x:v>State the sorted/monotonic invariant and halve the interval; for answer search, define a feasibility check.</x:v>
      </x:c>
      <x:c r="K159" s="80" t="str">
        <x:v>O(log n) or O(n log range)</x:v>
      </x:c>
      <x:c r="L159" s="80" t="str">
        <x:v>O(1) extra</x:v>
      </x:c>
      <x:c r="M159" s="84" t="n">
        <x:v>0</x:v>
      </x:c>
      <x:c r="N159" s="86"/>
      <x:c r="O159" s="84"/>
      <x:c r="P159" s="86"/>
      <x:c r="Q159" s="80" t="str">
        <x:v>https://leetcode.com/problems/find-minimum-in-rotated-sorted-array-ii/</x:v>
      </x:c>
      <x:c r="R159" s="80" t="str"/>
      <x:c r="S159" s="84" t="n">
        <x:f>IF(AND(OR(H159="Solved",H159="Revised"),G159="New (counts toward 400)"),1,0)</x:f>
        <x:v>0</x:v>
      </x:c>
    </x:row>
    <x:row r="160" ht="48" customHeight="1">
      <x:c r="A160" s="84" t="n">
        <x:v>157</x:v>
      </x:c>
      <x:c r="B160" s="84" t="n">
        <x:v>4</x:v>
      </x:c>
      <x:c r="C160" s="80" t="str">
        <x:v>Median of Two Sorted Arrays</x:v>
      </x:c>
      <x:c r="D160" s="84" t="str">
        <x:v>Hard</x:v>
      </x:c>
      <x:c r="E160" s="84" t="str">
        <x:v>Binary Search</x:v>
      </x:c>
      <x:c r="F160" s="84" t="str">
        <x:v>P1</x:v>
      </x:c>
      <x:c r="G160" s="84" t="str">
        <x:v>New (counts toward 400)</x:v>
      </x:c>
      <x:c r="H160" s="84" t="str">
        <x:v>Not Started</x:v>
      </x:c>
      <x:c r="I160" s="80" t="str">
        <x:v>Scan all candidates or test each possible answer.</x:v>
      </x:c>
      <x:c r="J160" s="80" t="str">
        <x:v>State the sorted/monotonic invariant and halve the interval; for answer search, define a feasibility check.</x:v>
      </x:c>
      <x:c r="K160" s="80" t="str">
        <x:v>O(log n) or O(n log range)</x:v>
      </x:c>
      <x:c r="L160" s="80" t="str">
        <x:v>O(1) extra</x:v>
      </x:c>
      <x:c r="M160" s="84" t="n">
        <x:v>0</x:v>
      </x:c>
      <x:c r="N160" s="86"/>
      <x:c r="O160" s="84"/>
      <x:c r="P160" s="86"/>
      <x:c r="Q160" s="80" t="str">
        <x:v>https://leetcode.com/problems/median-of-two-sorted-arrays/</x:v>
      </x:c>
      <x:c r="R160" s="80" t="str"/>
      <x:c r="S160" s="84" t="n">
        <x:f>IF(AND(OR(H160="Solved",H160="Revised"),G160="New (counts toward 400)"),1,0)</x:f>
        <x:v>0</x:v>
      </x:c>
    </x:row>
    <x:row r="161" ht="48" customHeight="1">
      <x:c r="A161" s="84" t="n">
        <x:v>158</x:v>
      </x:c>
      <x:c r="B161" s="84" t="n">
        <x:v>278</x:v>
      </x:c>
      <x:c r="C161" s="80" t="str">
        <x:v>First Bad Version</x:v>
      </x:c>
      <x:c r="D161" s="84" t="str">
        <x:v>Easy</x:v>
      </x:c>
      <x:c r="E161" s="84" t="str">
        <x:v>Binary Search</x:v>
      </x:c>
      <x:c r="F161" s="84" t="str">
        <x:v>P2</x:v>
      </x:c>
      <x:c r="G161" s="84" t="str">
        <x:v>New (counts toward 400)</x:v>
      </x:c>
      <x:c r="H161" s="84" t="str">
        <x:v>Not Started</x:v>
      </x:c>
      <x:c r="I161" s="80" t="str">
        <x:v>Scan all candidates or test each possible answer.</x:v>
      </x:c>
      <x:c r="J161" s="80" t="str">
        <x:v>State the sorted/monotonic invariant and halve the interval; for answer search, define a feasibility check.</x:v>
      </x:c>
      <x:c r="K161" s="80" t="str">
        <x:v>O(log n) or O(n log range)</x:v>
      </x:c>
      <x:c r="L161" s="80" t="str">
        <x:v>O(1) extra</x:v>
      </x:c>
      <x:c r="M161" s="84" t="n">
        <x:v>0</x:v>
      </x:c>
      <x:c r="N161" s="86"/>
      <x:c r="O161" s="84"/>
      <x:c r="P161" s="86"/>
      <x:c r="Q161" s="80" t="str">
        <x:v>https://leetcode.com/problems/first-bad-version/</x:v>
      </x:c>
      <x:c r="R161" s="80" t="str"/>
      <x:c r="S161" s="84" t="n">
        <x:f>IF(AND(OR(H161="Solved",H161="Revised"),G161="New (counts toward 400)"),1,0)</x:f>
        <x:v>0</x:v>
      </x:c>
    </x:row>
    <x:row r="162" ht="48" customHeight="1">
      <x:c r="A162" s="84" t="n">
        <x:v>159</x:v>
      </x:c>
      <x:c r="B162" s="84" t="n">
        <x:v>69</x:v>
      </x:c>
      <x:c r="C162" s="80" t="str">
        <x:v>Sqrt(x)</x:v>
      </x:c>
      <x:c r="D162" s="84" t="str">
        <x:v>Easy</x:v>
      </x:c>
      <x:c r="E162" s="84" t="str">
        <x:v>Binary Search</x:v>
      </x:c>
      <x:c r="F162" s="84" t="str">
        <x:v>P2</x:v>
      </x:c>
      <x:c r="G162" s="84" t="str">
        <x:v>New (counts toward 400)</x:v>
      </x:c>
      <x:c r="H162" s="84" t="str">
        <x:v>Not Started</x:v>
      </x:c>
      <x:c r="I162" s="80" t="str">
        <x:v>Scan all candidates or test each possible answer.</x:v>
      </x:c>
      <x:c r="J162" s="80" t="str">
        <x:v>State the sorted/monotonic invariant and halve the interval; for answer search, define a feasibility check.</x:v>
      </x:c>
      <x:c r="K162" s="80" t="str">
        <x:v>O(log n) or O(n log range)</x:v>
      </x:c>
      <x:c r="L162" s="80" t="str">
        <x:v>O(1) extra</x:v>
      </x:c>
      <x:c r="M162" s="84" t="n">
        <x:v>0</x:v>
      </x:c>
      <x:c r="N162" s="86"/>
      <x:c r="O162" s="84"/>
      <x:c r="P162" s="86"/>
      <x:c r="Q162" s="80" t="str">
        <x:v>https://leetcode.com/problems/sqrtx/</x:v>
      </x:c>
      <x:c r="R162" s="80" t="str"/>
      <x:c r="S162" s="84" t="n">
        <x:f>IF(AND(OR(H162="Solved",H162="Revised"),G162="New (counts toward 400)"),1,0)</x:f>
        <x:v>0</x:v>
      </x:c>
    </x:row>
    <x:row r="163" ht="48" customHeight="1">
      <x:c r="A163" s="84" t="n">
        <x:v>160</x:v>
      </x:c>
      <x:c r="B163" s="84" t="n">
        <x:v>367</x:v>
      </x:c>
      <x:c r="C163" s="80" t="str">
        <x:v>Valid Perfect Square</x:v>
      </x:c>
      <x:c r="D163" s="84" t="str">
        <x:v>Easy</x:v>
      </x:c>
      <x:c r="E163" s="84" t="str">
        <x:v>Binary Search</x:v>
      </x:c>
      <x:c r="F163" s="84" t="str">
        <x:v>P2</x:v>
      </x:c>
      <x:c r="G163" s="84" t="str">
        <x:v>New (counts toward 400)</x:v>
      </x:c>
      <x:c r="H163" s="84" t="str">
        <x:v>Not Started</x:v>
      </x:c>
      <x:c r="I163" s="80" t="str">
        <x:v>Scan all candidates or test each possible answer.</x:v>
      </x:c>
      <x:c r="J163" s="80" t="str">
        <x:v>State the sorted/monotonic invariant and halve the interval; for answer search, define a feasibility check.</x:v>
      </x:c>
      <x:c r="K163" s="80" t="str">
        <x:v>O(log n) or O(n log range)</x:v>
      </x:c>
      <x:c r="L163" s="80" t="str">
        <x:v>O(1) extra</x:v>
      </x:c>
      <x:c r="M163" s="84" t="n">
        <x:v>0</x:v>
      </x:c>
      <x:c r="N163" s="86"/>
      <x:c r="O163" s="84"/>
      <x:c r="P163" s="86"/>
      <x:c r="Q163" s="80" t="str">
        <x:v>https://leetcode.com/problems/valid-perfect-square/</x:v>
      </x:c>
      <x:c r="R163" s="80" t="str"/>
      <x:c r="S163" s="84" t="n">
        <x:f>IF(AND(OR(H163="Solved",H163="Revised"),G163="New (counts toward 400)"),1,0)</x:f>
        <x:v>0</x:v>
      </x:c>
    </x:row>
    <x:row r="164" ht="48" customHeight="1">
      <x:c r="A164" s="84" t="n">
        <x:v>161</x:v>
      </x:c>
      <x:c r="B164" s="84" t="n">
        <x:v>74</x:v>
      </x:c>
      <x:c r="C164" s="80" t="str">
        <x:v>Search a 2D Matrix</x:v>
      </x:c>
      <x:c r="D164" s="84" t="str">
        <x:v>Medium</x:v>
      </x:c>
      <x:c r="E164" s="84" t="str">
        <x:v>Binary Search / Matrix</x:v>
      </x:c>
      <x:c r="F164" s="84" t="str">
        <x:v>P1</x:v>
      </x:c>
      <x:c r="G164" s="84" t="str">
        <x:v>New (counts toward 400)</x:v>
      </x:c>
      <x:c r="H164" s="84" t="str">
        <x:v>Not Started</x:v>
      </x:c>
      <x:c r="I164" s="80" t="str">
        <x:v>Scan all candidates or test each possible answer.</x:v>
      </x:c>
      <x:c r="J164" s="80" t="str">
        <x:v>State the sorted/monotonic invariant and halve the interval; for answer search, define a feasibility check.</x:v>
      </x:c>
      <x:c r="K164" s="80" t="str">
        <x:v>O(log n) or O(n log range)</x:v>
      </x:c>
      <x:c r="L164" s="80" t="str">
        <x:v>O(1) extra</x:v>
      </x:c>
      <x:c r="M164" s="84" t="n">
        <x:v>0</x:v>
      </x:c>
      <x:c r="N164" s="86"/>
      <x:c r="O164" s="84"/>
      <x:c r="P164" s="86"/>
      <x:c r="Q164" s="80" t="str">
        <x:v>https://leetcode.com/problems/search-a-2d-matrix/</x:v>
      </x:c>
      <x:c r="R164" s="80" t="str"/>
      <x:c r="S164" s="84" t="n">
        <x:f>IF(AND(OR(H164="Solved",H164="Revised"),G164="New (counts toward 400)"),1,0)</x:f>
        <x:v>0</x:v>
      </x:c>
    </x:row>
    <x:row r="165" ht="48" customHeight="1">
      <x:c r="A165" s="84" t="n">
        <x:v>162</x:v>
      </x:c>
      <x:c r="B165" s="84" t="n">
        <x:v>240</x:v>
      </x:c>
      <x:c r="C165" s="80" t="str">
        <x:v>Search a 2D Matrix II</x:v>
      </x:c>
      <x:c r="D165" s="84" t="str">
        <x:v>Medium</x:v>
      </x:c>
      <x:c r="E165" s="84" t="str">
        <x:v>Matrix / Binary Search</x:v>
      </x:c>
      <x:c r="F165" s="84" t="str">
        <x:v>P2</x:v>
      </x:c>
      <x:c r="G165" s="84" t="str">
        <x:v>New (counts toward 400)</x:v>
      </x:c>
      <x:c r="H165" s="84" t="str">
        <x:v>Not Started</x:v>
      </x:c>
      <x:c r="I165" s="80" t="str">
        <x:v>Scan all candidates or test each possible answer.</x:v>
      </x:c>
      <x:c r="J165" s="80" t="str">
        <x:v>State the sorted/monotonic invariant and halve the interval; for answer search, define a feasibility check.</x:v>
      </x:c>
      <x:c r="K165" s="80" t="str">
        <x:v>O(log n) or O(n log range)</x:v>
      </x:c>
      <x:c r="L165" s="80" t="str">
        <x:v>O(1) extra</x:v>
      </x:c>
      <x:c r="M165" s="84" t="n">
        <x:v>0</x:v>
      </x:c>
      <x:c r="N165" s="86"/>
      <x:c r="O165" s="84"/>
      <x:c r="P165" s="86"/>
      <x:c r="Q165" s="80" t="str">
        <x:v>https://leetcode.com/problems/search-a-2d-matrix-ii/</x:v>
      </x:c>
      <x:c r="R165" s="80" t="str"/>
      <x:c r="S165" s="84" t="n">
        <x:f>IF(AND(OR(H165="Solved",H165="Revised"),G165="New (counts toward 400)"),1,0)</x:f>
        <x:v>0</x:v>
      </x:c>
    </x:row>
    <x:row r="166" ht="48" customHeight="1">
      <x:c r="A166" s="84" t="n">
        <x:v>163</x:v>
      </x:c>
      <x:c r="B166" s="84" t="n">
        <x:v>162</x:v>
      </x:c>
      <x:c r="C166" s="80" t="str">
        <x:v>Find Peak Element</x:v>
      </x:c>
      <x:c r="D166" s="84" t="str">
        <x:v>Medium</x:v>
      </x:c>
      <x:c r="E166" s="84" t="str">
        <x:v>Binary Search</x:v>
      </x:c>
      <x:c r="F166" s="84" t="str">
        <x:v>P2</x:v>
      </x:c>
      <x:c r="G166" s="84" t="str">
        <x:v>New (counts toward 400)</x:v>
      </x:c>
      <x:c r="H166" s="84" t="str">
        <x:v>Not Started</x:v>
      </x:c>
      <x:c r="I166" s="80" t="str">
        <x:v>Scan all candidates or test each possible answer.</x:v>
      </x:c>
      <x:c r="J166" s="80" t="str">
        <x:v>State the sorted/monotonic invariant and halve the interval; for answer search, define a feasibility check.</x:v>
      </x:c>
      <x:c r="K166" s="80" t="str">
        <x:v>O(log n) or O(n log range)</x:v>
      </x:c>
      <x:c r="L166" s="80" t="str">
        <x:v>O(1) extra</x:v>
      </x:c>
      <x:c r="M166" s="84" t="n">
        <x:v>0</x:v>
      </x:c>
      <x:c r="N166" s="86"/>
      <x:c r="O166" s="84"/>
      <x:c r="P166" s="86"/>
      <x:c r="Q166" s="80" t="str">
        <x:v>https://leetcode.com/problems/find-peak-element/</x:v>
      </x:c>
      <x:c r="R166" s="80" t="str"/>
      <x:c r="S166" s="84" t="n">
        <x:f>IF(AND(OR(H166="Solved",H166="Revised"),G166="New (counts toward 400)"),1,0)</x:f>
        <x:v>0</x:v>
      </x:c>
    </x:row>
    <x:row r="167" ht="48" customHeight="1">
      <x:c r="A167" s="84" t="n">
        <x:v>164</x:v>
      </x:c>
      <x:c r="B167" s="84" t="n">
        <x:v>875</x:v>
      </x:c>
      <x:c r="C167" s="80" t="str">
        <x:v>Koko Eating Bananas</x:v>
      </x:c>
      <x:c r="D167" s="84" t="str">
        <x:v>Medium</x:v>
      </x:c>
      <x:c r="E167" s="84" t="str">
        <x:v>Binary Search on Answer</x:v>
      </x:c>
      <x:c r="F167" s="84" t="str">
        <x:v>P1</x:v>
      </x:c>
      <x:c r="G167" s="84" t="str">
        <x:v>New (counts toward 400)</x:v>
      </x:c>
      <x:c r="H167" s="84" t="str">
        <x:v>Not Started</x:v>
      </x:c>
      <x:c r="I167" s="80" t="str">
        <x:v>Try each speed and simulate hours for all piles.</x:v>
      </x:c>
      <x:c r="J167" s="80" t="str">
        <x:v>Binary-search speed; feasibility is monotonic and checked with sum(ceil(pile/speed)).</x:v>
      </x:c>
      <x:c r="K167" s="80" t="str">
        <x:v>O(n log maxPile)</x:v>
      </x:c>
      <x:c r="L167" s="80" t="str">
        <x:v>O(1)</x:v>
      </x:c>
      <x:c r="M167" s="84" t="n">
        <x:v>0</x:v>
      </x:c>
      <x:c r="N167" s="86"/>
      <x:c r="O167" s="84"/>
      <x:c r="P167" s="86"/>
      <x:c r="Q167" s="80" t="str">
        <x:v>https://leetcode.com/problems/koko-eating-bananas/</x:v>
      </x:c>
      <x:c r="R167" s="80" t="str"/>
      <x:c r="S167" s="84" t="n">
        <x:f>IF(AND(OR(H167="Solved",H167="Revised"),G167="New (counts toward 400)"),1,0)</x:f>
        <x:v>0</x:v>
      </x:c>
    </x:row>
    <x:row r="168" ht="48" customHeight="1">
      <x:c r="A168" s="84" t="n">
        <x:v>165</x:v>
      </x:c>
      <x:c r="B168" s="84" t="n">
        <x:v>1011</x:v>
      </x:c>
      <x:c r="C168" s="80" t="str">
        <x:v>Capacity To Ship Packages Within D Days</x:v>
      </x:c>
      <x:c r="D168" s="84" t="str">
        <x:v>Medium</x:v>
      </x:c>
      <x:c r="E168" s="84" t="str">
        <x:v>Binary Search on Answer</x:v>
      </x:c>
      <x:c r="F168" s="84" t="str">
        <x:v>P1</x:v>
      </x:c>
      <x:c r="G168" s="84" t="str">
        <x:v>New (counts toward 400)</x:v>
      </x:c>
      <x:c r="H168" s="84" t="str">
        <x:v>Not Started</x:v>
      </x:c>
      <x:c r="I168" s="80" t="str">
        <x:v>Scan all candidates or test each possible answer.</x:v>
      </x:c>
      <x:c r="J168" s="80" t="str">
        <x:v>State the sorted/monotonic invariant and halve the interval; for answer search, define a feasibility check.</x:v>
      </x:c>
      <x:c r="K168" s="80" t="str">
        <x:v>O(log n) or O(n log range)</x:v>
      </x:c>
      <x:c r="L168" s="80" t="str">
        <x:v>O(1) extra</x:v>
      </x:c>
      <x:c r="M168" s="84" t="n">
        <x:v>0</x:v>
      </x:c>
      <x:c r="N168" s="86"/>
      <x:c r="O168" s="84"/>
      <x:c r="P168" s="86"/>
      <x:c r="Q168" s="80" t="str">
        <x:v>https://leetcode.com/problems/capacity-to-ship-packages-within-d-days/</x:v>
      </x:c>
      <x:c r="R168" s="80" t="str"/>
      <x:c r="S168" s="84" t="n">
        <x:f>IF(AND(OR(H168="Solved",H168="Revised"),G168="New (counts toward 400)"),1,0)</x:f>
        <x:v>0</x:v>
      </x:c>
    </x:row>
    <x:row r="169" ht="48" customHeight="1">
      <x:c r="A169" s="84" t="n">
        <x:v>166</x:v>
      </x:c>
      <x:c r="B169" s="84" t="n">
        <x:v>410</x:v>
      </x:c>
      <x:c r="C169" s="80" t="str">
        <x:v>Split Array Largest Sum</x:v>
      </x:c>
      <x:c r="D169" s="84" t="str">
        <x:v>Hard</x:v>
      </x:c>
      <x:c r="E169" s="84" t="str">
        <x:v>Binary Search on Answer / DP</x:v>
      </x:c>
      <x:c r="F169" s="84" t="str">
        <x:v>P2</x:v>
      </x:c>
      <x:c r="G169" s="84" t="str">
        <x:v>New (counts toward 400)</x:v>
      </x:c>
      <x:c r="H169" s="84" t="str">
        <x:v>Not Started</x:v>
      </x:c>
      <x:c r="I169" s="80" t="str">
        <x:v>Scan all candidates or test each possible answer.</x:v>
      </x:c>
      <x:c r="J169" s="80" t="str">
        <x:v>State the sorted/monotonic invariant and halve the interval; for answer search, define a feasibility check.</x:v>
      </x:c>
      <x:c r="K169" s="80" t="str">
        <x:v>O(log n) or O(n log range)</x:v>
      </x:c>
      <x:c r="L169" s="80" t="str">
        <x:v>O(1) extra</x:v>
      </x:c>
      <x:c r="M169" s="84" t="n">
        <x:v>0</x:v>
      </x:c>
      <x:c r="N169" s="86"/>
      <x:c r="O169" s="84"/>
      <x:c r="P169" s="86"/>
      <x:c r="Q169" s="80" t="str">
        <x:v>https://leetcode.com/problems/split-array-largest-sum/</x:v>
      </x:c>
      <x:c r="R169" s="80" t="str"/>
      <x:c r="S169" s="84" t="n">
        <x:f>IF(AND(OR(H169="Solved",H169="Revised"),G169="New (counts toward 400)"),1,0)</x:f>
        <x:v>0</x:v>
      </x:c>
    </x:row>
    <x:row r="170" ht="48" customHeight="1">
      <x:c r="A170" s="84" t="n">
        <x:v>167</x:v>
      </x:c>
      <x:c r="B170" s="84" t="n">
        <x:v>1482</x:v>
      </x:c>
      <x:c r="C170" s="80" t="str">
        <x:v>Minimum Number of Days to Make m Bouquets</x:v>
      </x:c>
      <x:c r="D170" s="84" t="str">
        <x:v>Medium</x:v>
      </x:c>
      <x:c r="E170" s="84" t="str">
        <x:v>Binary Search on Answer</x:v>
      </x:c>
      <x:c r="F170" s="84" t="str">
        <x:v>P2</x:v>
      </x:c>
      <x:c r="G170" s="84" t="str">
        <x:v>New (counts toward 400)</x:v>
      </x:c>
      <x:c r="H170" s="84" t="str">
        <x:v>Not Started</x:v>
      </x:c>
      <x:c r="I170" s="80" t="str">
        <x:v>Scan all candidates or test each possible answer.</x:v>
      </x:c>
      <x:c r="J170" s="80" t="str">
        <x:v>State the sorted/monotonic invariant and halve the interval; for answer search, define a feasibility check.</x:v>
      </x:c>
      <x:c r="K170" s="80" t="str">
        <x:v>O(log n) or O(n log range)</x:v>
      </x:c>
      <x:c r="L170" s="80" t="str">
        <x:v>O(1) extra</x:v>
      </x:c>
      <x:c r="M170" s="84" t="n">
        <x:v>0</x:v>
      </x:c>
      <x:c r="N170" s="86"/>
      <x:c r="O170" s="84"/>
      <x:c r="P170" s="86"/>
      <x:c r="Q170" s="80" t="str">
        <x:v>https://leetcode.com/problems/minimum-number-of-days-to-make-m-bouquets/</x:v>
      </x:c>
      <x:c r="R170" s="80" t="str"/>
      <x:c r="S170" s="84" t="n">
        <x:f>IF(AND(OR(H170="Solved",H170="Revised"),G170="New (counts toward 400)"),1,0)</x:f>
        <x:v>0</x:v>
      </x:c>
    </x:row>
    <x:row r="171" ht="48" customHeight="1">
      <x:c r="A171" s="84" t="n">
        <x:v>168</x:v>
      </x:c>
      <x:c r="B171" s="84" t="n">
        <x:v>1283</x:v>
      </x:c>
      <x:c r="C171" s="80" t="str">
        <x:v>Find the Smallest Divisor Given a Threshold</x:v>
      </x:c>
      <x:c r="D171" s="84" t="str">
        <x:v>Medium</x:v>
      </x:c>
      <x:c r="E171" s="84" t="str">
        <x:v>Binary Search on Answer</x:v>
      </x:c>
      <x:c r="F171" s="84" t="str">
        <x:v>P2</x:v>
      </x:c>
      <x:c r="G171" s="84" t="str">
        <x:v>New (counts toward 400)</x:v>
      </x:c>
      <x:c r="H171" s="84" t="str">
        <x:v>Not Started</x:v>
      </x:c>
      <x:c r="I171" s="80" t="str">
        <x:v>Scan all candidates or test each possible answer.</x:v>
      </x:c>
      <x:c r="J171" s="80" t="str">
        <x:v>State the sorted/monotonic invariant and halve the interval; for answer search, define a feasibility check.</x:v>
      </x:c>
      <x:c r="K171" s="80" t="str">
        <x:v>O(log n) or O(n log range)</x:v>
      </x:c>
      <x:c r="L171" s="80" t="str">
        <x:v>O(1) extra</x:v>
      </x:c>
      <x:c r="M171" s="84" t="n">
        <x:v>0</x:v>
      </x:c>
      <x:c r="N171" s="86"/>
      <x:c r="O171" s="84"/>
      <x:c r="P171" s="86"/>
      <x:c r="Q171" s="80" t="str">
        <x:v>https://leetcode.com/problems/find-the-smallest-divisor-given-a-threshold/</x:v>
      </x:c>
      <x:c r="R171" s="80" t="str"/>
      <x:c r="S171" s="84" t="n">
        <x:f>IF(AND(OR(H171="Solved",H171="Revised"),G171="New (counts toward 400)"),1,0)</x:f>
        <x:v>0</x:v>
      </x:c>
    </x:row>
    <x:row r="172" ht="48" customHeight="1">
      <x:c r="A172" s="84" t="n">
        <x:v>169</x:v>
      </x:c>
      <x:c r="B172" s="84" t="n">
        <x:v>1552</x:v>
      </x:c>
      <x:c r="C172" s="80" t="str">
        <x:v>Magnetic Force Between Two Balls</x:v>
      </x:c>
      <x:c r="D172" s="84" t="str">
        <x:v>Medium</x:v>
      </x:c>
      <x:c r="E172" s="84" t="str">
        <x:v>Binary Search on Answer</x:v>
      </x:c>
      <x:c r="F172" s="84" t="str">
        <x:v>P2</x:v>
      </x:c>
      <x:c r="G172" s="84" t="str">
        <x:v>New (counts toward 400)</x:v>
      </x:c>
      <x:c r="H172" s="84" t="str">
        <x:v>Not Started</x:v>
      </x:c>
      <x:c r="I172" s="80" t="str">
        <x:v>Scan all candidates or test each possible answer.</x:v>
      </x:c>
      <x:c r="J172" s="80" t="str">
        <x:v>State the sorted/monotonic invariant and halve the interval; for answer search, define a feasibility check.</x:v>
      </x:c>
      <x:c r="K172" s="80" t="str">
        <x:v>O(log n) or O(n log range)</x:v>
      </x:c>
      <x:c r="L172" s="80" t="str">
        <x:v>O(1) extra</x:v>
      </x:c>
      <x:c r="M172" s="84" t="n">
        <x:v>0</x:v>
      </x:c>
      <x:c r="N172" s="86"/>
      <x:c r="O172" s="84"/>
      <x:c r="P172" s="86"/>
      <x:c r="Q172" s="80" t="str">
        <x:v>https://leetcode.com/problems/magnetic-force-between-two-balls/</x:v>
      </x:c>
      <x:c r="R172" s="80" t="str"/>
      <x:c r="S172" s="84" t="n">
        <x:f>IF(AND(OR(H172="Solved",H172="Revised"),G172="New (counts toward 400)"),1,0)</x:f>
        <x:v>0</x:v>
      </x:c>
    </x:row>
    <x:row r="173" ht="48" customHeight="1">
      <x:c r="A173" s="84" t="n">
        <x:v>170</x:v>
      </x:c>
      <x:c r="B173" s="84" t="n">
        <x:v>378</x:v>
      </x:c>
      <x:c r="C173" s="80" t="str">
        <x:v>Kth Smallest Element in a Sorted Matrix</x:v>
      </x:c>
      <x:c r="D173" s="84" t="str">
        <x:v>Medium</x:v>
      </x:c>
      <x:c r="E173" s="84" t="str">
        <x:v>Binary Search / Heap</x:v>
      </x:c>
      <x:c r="F173" s="84" t="str">
        <x:v>P2</x:v>
      </x:c>
      <x:c r="G173" s="84" t="str">
        <x:v>New (counts toward 400)</x:v>
      </x:c>
      <x:c r="H173" s="84" t="str">
        <x:v>Not Started</x:v>
      </x:c>
      <x:c r="I173" s="80" t="str">
        <x:v>Scan all candidates or test each possible answer.</x:v>
      </x:c>
      <x:c r="J173" s="80" t="str">
        <x:v>State the sorted/monotonic invariant and halve the interval; for answer search, define a feasibility check.</x:v>
      </x:c>
      <x:c r="K173" s="80" t="str">
        <x:v>O(log n) or O(n log range)</x:v>
      </x:c>
      <x:c r="L173" s="80" t="str">
        <x:v>O(1) extra</x:v>
      </x:c>
      <x:c r="M173" s="84" t="n">
        <x:v>0</x:v>
      </x:c>
      <x:c r="N173" s="86"/>
      <x:c r="O173" s="84"/>
      <x:c r="P173" s="86"/>
      <x:c r="Q173" s="80" t="str">
        <x:v>https://leetcode.com/problems/kth-smallest-element-in-a-sorted-matrix/</x:v>
      </x:c>
      <x:c r="R173" s="80" t="str"/>
      <x:c r="S173" s="84" t="n">
        <x:f>IF(AND(OR(H173="Solved",H173="Revised"),G173="New (counts toward 400)"),1,0)</x:f>
        <x:v>0</x:v>
      </x:c>
    </x:row>
    <x:row r="174" ht="48" customHeight="1">
      <x:c r="A174" s="84" t="n">
        <x:v>171</x:v>
      </x:c>
      <x:c r="B174" s="84" t="n">
        <x:v>719</x:v>
      </x:c>
      <x:c r="C174" s="80" t="str">
        <x:v>Find K-th Smallest Pair Distance</x:v>
      </x:c>
      <x:c r="D174" s="84" t="str">
        <x:v>Hard</x:v>
      </x:c>
      <x:c r="E174" s="84" t="str">
        <x:v>Binary Search on Answer</x:v>
      </x:c>
      <x:c r="F174" s="84" t="str">
        <x:v>P2</x:v>
      </x:c>
      <x:c r="G174" s="84" t="str">
        <x:v>New (counts toward 400)</x:v>
      </x:c>
      <x:c r="H174" s="84" t="str">
        <x:v>Not Started</x:v>
      </x:c>
      <x:c r="I174" s="80" t="str">
        <x:v>Scan all candidates or test each possible answer.</x:v>
      </x:c>
      <x:c r="J174" s="80" t="str">
        <x:v>State the sorted/monotonic invariant and halve the interval; for answer search, define a feasibility check.</x:v>
      </x:c>
      <x:c r="K174" s="80" t="str">
        <x:v>O(log n) or O(n log range)</x:v>
      </x:c>
      <x:c r="L174" s="80" t="str">
        <x:v>O(1) extra</x:v>
      </x:c>
      <x:c r="M174" s="84" t="n">
        <x:v>0</x:v>
      </x:c>
      <x:c r="N174" s="86"/>
      <x:c r="O174" s="84"/>
      <x:c r="P174" s="86"/>
      <x:c r="Q174" s="80" t="str">
        <x:v>https://leetcode.com/problems/find-k-th-smallest-pair-distance/</x:v>
      </x:c>
      <x:c r="R174" s="80" t="str"/>
      <x:c r="S174" s="84" t="n">
        <x:f>IF(AND(OR(H174="Solved",H174="Revised"),G174="New (counts toward 400)"),1,0)</x:f>
        <x:v>0</x:v>
      </x:c>
    </x:row>
    <x:row r="175" ht="48" customHeight="1">
      <x:c r="A175" s="84" t="n">
        <x:v>172</x:v>
      </x:c>
      <x:c r="B175" s="84" t="n">
        <x:v>658</x:v>
      </x:c>
      <x:c r="C175" s="80" t="str">
        <x:v>Find K Closest Elements</x:v>
      </x:c>
      <x:c r="D175" s="84" t="str">
        <x:v>Medium</x:v>
      </x:c>
      <x:c r="E175" s="84" t="str">
        <x:v>Binary Search / Two Pointers</x:v>
      </x:c>
      <x:c r="F175" s="84" t="str">
        <x:v>P2</x:v>
      </x:c>
      <x:c r="G175" s="84" t="str">
        <x:v>New (counts toward 400)</x:v>
      </x:c>
      <x:c r="H175" s="84" t="str">
        <x:v>Not Started</x:v>
      </x:c>
      <x:c r="I175" s="80" t="str">
        <x:v>Enumerate candidate pairs/segments and compare their values.</x:v>
      </x:c>
      <x:c r="J175" s="80" t="str">
        <x:v>Use sorted order or a monotonic invariant to decide which pointer moves; skip duplicates when needed.</x:v>
      </x:c>
      <x:c r="K175" s="80" t="str">
        <x:v>O(n) to O(n log n)</x:v>
      </x:c>
      <x:c r="L175" s="80" t="str">
        <x:v>O(1) extra excluding output</x:v>
      </x:c>
      <x:c r="M175" s="84" t="n">
        <x:v>0</x:v>
      </x:c>
      <x:c r="N175" s="86"/>
      <x:c r="O175" s="84"/>
      <x:c r="P175" s="86"/>
      <x:c r="Q175" s="80" t="str">
        <x:v>https://leetcode.com/problems/find-k-closest-elements/</x:v>
      </x:c>
      <x:c r="R175" s="80" t="str"/>
      <x:c r="S175" s="84" t="n">
        <x:f>IF(AND(OR(H175="Solved",H175="Revised"),G175="New (counts toward 400)"),1,0)</x:f>
        <x:v>0</x:v>
      </x:c>
    </x:row>
    <x:row r="176" ht="48" customHeight="1">
      <x:c r="A176" s="84" t="n">
        <x:v>173</x:v>
      </x:c>
      <x:c r="B176" s="84" t="n">
        <x:v>981</x:v>
      </x:c>
      <x:c r="C176" s="80" t="str">
        <x:v>Time Based Key-Value Store</x:v>
      </x:c>
      <x:c r="D176" s="84" t="str">
        <x:v>Medium</x:v>
      </x:c>
      <x:c r="E176" s="84" t="str">
        <x:v>Design / Binary Search</x:v>
      </x:c>
      <x:c r="F176" s="84" t="str">
        <x:v>P1</x:v>
      </x:c>
      <x:c r="G176" s="84" t="str">
        <x:v>New (counts toward 400)</x:v>
      </x:c>
      <x:c r="H176" s="84" t="str">
        <x:v>Not Started</x:v>
      </x:c>
      <x:c r="I176" s="80" t="str">
        <x:v>Scan all candidates or test each possible answer.</x:v>
      </x:c>
      <x:c r="J176" s="80" t="str">
        <x:v>State the sorted/monotonic invariant and halve the interval; for answer search, define a feasibility check.</x:v>
      </x:c>
      <x:c r="K176" s="80" t="str">
        <x:v>O(log n) or O(n log range)</x:v>
      </x:c>
      <x:c r="L176" s="80" t="str">
        <x:v>O(1) extra</x:v>
      </x:c>
      <x:c r="M176" s="84" t="n">
        <x:v>0</x:v>
      </x:c>
      <x:c r="N176" s="86"/>
      <x:c r="O176" s="84"/>
      <x:c r="P176" s="86"/>
      <x:c r="Q176" s="80" t="str">
        <x:v>https://leetcode.com/problems/time-based-key-value-store/</x:v>
      </x:c>
      <x:c r="R176" s="80" t="str"/>
      <x:c r="S176" s="84" t="n">
        <x:f>IF(AND(OR(H176="Solved",H176="Revised"),G176="New (counts toward 400)"),1,0)</x:f>
        <x:v>0</x:v>
      </x:c>
    </x:row>
    <x:row r="177" ht="48" customHeight="1">
      <x:c r="A177" s="84" t="n">
        <x:v>174</x:v>
      </x:c>
      <x:c r="B177" s="84" t="n">
        <x:v>1539</x:v>
      </x:c>
      <x:c r="C177" s="80" t="str">
        <x:v>Kth Missing Positive Number</x:v>
      </x:c>
      <x:c r="D177" s="84" t="str">
        <x:v>Easy</x:v>
      </x:c>
      <x:c r="E177" s="84" t="str">
        <x:v>Binary Search</x:v>
      </x:c>
      <x:c r="F177" s="84" t="str">
        <x:v>P2</x:v>
      </x:c>
      <x:c r="G177" s="84" t="str">
        <x:v>New (counts toward 400)</x:v>
      </x:c>
      <x:c r="H177" s="84" t="str">
        <x:v>Not Started</x:v>
      </x:c>
      <x:c r="I177" s="80" t="str">
        <x:v>Scan all candidates or test each possible answer.</x:v>
      </x:c>
      <x:c r="J177" s="80" t="str">
        <x:v>State the sorted/monotonic invariant and halve the interval; for answer search, define a feasibility check.</x:v>
      </x:c>
      <x:c r="K177" s="80" t="str">
        <x:v>O(log n) or O(n log range)</x:v>
      </x:c>
      <x:c r="L177" s="80" t="str">
        <x:v>O(1) extra</x:v>
      </x:c>
      <x:c r="M177" s="84" t="n">
        <x:v>0</x:v>
      </x:c>
      <x:c r="N177" s="86"/>
      <x:c r="O177" s="84"/>
      <x:c r="P177" s="86"/>
      <x:c r="Q177" s="80" t="str">
        <x:v>https://leetcode.com/problems/kth-missing-positive-number/</x:v>
      </x:c>
      <x:c r="R177" s="80" t="str"/>
      <x:c r="S177" s="84" t="n">
        <x:f>IF(AND(OR(H177="Solved",H177="Revised"),G177="New (counts toward 400)"),1,0)</x:f>
        <x:v>0</x:v>
      </x:c>
    </x:row>
    <x:row r="178" ht="48" customHeight="1">
      <x:c r="A178" s="84" t="n">
        <x:v>175</x:v>
      </x:c>
      <x:c r="B178" s="84" t="n">
        <x:v>2300</x:v>
      </x:c>
      <x:c r="C178" s="80" t="str">
        <x:v>Successful Pairs of Spells and Potions</x:v>
      </x:c>
      <x:c r="D178" s="84" t="str">
        <x:v>Medium</x:v>
      </x:c>
      <x:c r="E178" s="84" t="str">
        <x:v>Binary Search</x:v>
      </x:c>
      <x:c r="F178" s="84" t="str">
        <x:v>P2</x:v>
      </x:c>
      <x:c r="G178" s="84" t="str">
        <x:v>New (counts toward 400)</x:v>
      </x:c>
      <x:c r="H178" s="84" t="str">
        <x:v>Not Started</x:v>
      </x:c>
      <x:c r="I178" s="80" t="str">
        <x:v>Scan all candidates or test each possible answer.</x:v>
      </x:c>
      <x:c r="J178" s="80" t="str">
        <x:v>State the sorted/monotonic invariant and halve the interval; for answer search, define a feasibility check.</x:v>
      </x:c>
      <x:c r="K178" s="80" t="str">
        <x:v>O(log n) or O(n log range)</x:v>
      </x:c>
      <x:c r="L178" s="80" t="str">
        <x:v>O(1) extra</x:v>
      </x:c>
      <x:c r="M178" s="84" t="n">
        <x:v>0</x:v>
      </x:c>
      <x:c r="N178" s="86"/>
      <x:c r="O178" s="84"/>
      <x:c r="P178" s="86"/>
      <x:c r="Q178" s="80" t="str">
        <x:v>https://leetcode.com/problems/successful-pairs-of-spells-and-potions/</x:v>
      </x:c>
      <x:c r="R178" s="80" t="str"/>
      <x:c r="S178" s="84" t="n">
        <x:f>IF(AND(OR(H178="Solved",H178="Revised"),G178="New (counts toward 400)"),1,0)</x:f>
        <x:v>0</x:v>
      </x:c>
    </x:row>
    <x:row r="179" ht="48" customHeight="1">
      <x:c r="A179" s="84" t="n">
        <x:v>176</x:v>
      </x:c>
      <x:c r="B179" s="84" t="n">
        <x:v>1855</x:v>
      </x:c>
      <x:c r="C179" s="80" t="str">
        <x:v>Maximum Distance Between a Pair of Values</x:v>
      </x:c>
      <x:c r="D179" s="84" t="str">
        <x:v>Medium</x:v>
      </x:c>
      <x:c r="E179" s="84" t="str">
        <x:v>Binary Search / Two Pointers</x:v>
      </x:c>
      <x:c r="F179" s="84" t="str">
        <x:v>P2</x:v>
      </x:c>
      <x:c r="G179" s="84" t="str">
        <x:v>New (counts toward 400)</x:v>
      </x:c>
      <x:c r="H179" s="84" t="str">
        <x:v>Not Started</x:v>
      </x:c>
      <x:c r="I179" s="80" t="str">
        <x:v>Enumerate candidate pairs/segments and compare their values.</x:v>
      </x:c>
      <x:c r="J179" s="80" t="str">
        <x:v>Use sorted order or a monotonic invariant to decide which pointer moves; skip duplicates when needed.</x:v>
      </x:c>
      <x:c r="K179" s="80" t="str">
        <x:v>O(n) to O(n log n)</x:v>
      </x:c>
      <x:c r="L179" s="80" t="str">
        <x:v>O(1) extra excluding output</x:v>
      </x:c>
      <x:c r="M179" s="84" t="n">
        <x:v>0</x:v>
      </x:c>
      <x:c r="N179" s="86"/>
      <x:c r="O179" s="84"/>
      <x:c r="P179" s="86"/>
      <x:c r="Q179" s="80" t="str">
        <x:v>https://leetcode.com/problems/maximum-distance-between-a-pair-of-values/</x:v>
      </x:c>
      <x:c r="R179" s="80" t="str"/>
      <x:c r="S179" s="84" t="n">
        <x:f>IF(AND(OR(H179="Solved",H179="Revised"),G179="New (counts toward 400)"),1,0)</x:f>
        <x:v>0</x:v>
      </x:c>
    </x:row>
    <x:row r="180" ht="48" customHeight="1">
      <x:c r="A180" s="84" t="n">
        <x:v>177</x:v>
      </x:c>
      <x:c r="B180" s="84" t="n">
        <x:v>2064</x:v>
      </x:c>
      <x:c r="C180" s="80" t="str">
        <x:v>Minimized Maximum of Products Distributed to Any Store</x:v>
      </x:c>
      <x:c r="D180" s="84" t="str">
        <x:v>Medium</x:v>
      </x:c>
      <x:c r="E180" s="84" t="str">
        <x:v>Binary Search on Answer</x:v>
      </x:c>
      <x:c r="F180" s="84" t="str">
        <x:v>P3</x:v>
      </x:c>
      <x:c r="G180" s="84" t="str">
        <x:v>New (counts toward 400)</x:v>
      </x:c>
      <x:c r="H180" s="84" t="str">
        <x:v>Not Started</x:v>
      </x:c>
      <x:c r="I180" s="80" t="str">
        <x:v>Scan all candidates or test each possible answer.</x:v>
      </x:c>
      <x:c r="J180" s="80" t="str">
        <x:v>State the sorted/monotonic invariant and halve the interval; for answer search, define a feasibility check.</x:v>
      </x:c>
      <x:c r="K180" s="80" t="str">
        <x:v>O(log n) or O(n log range)</x:v>
      </x:c>
      <x:c r="L180" s="80" t="str">
        <x:v>O(1) extra</x:v>
      </x:c>
      <x:c r="M180" s="84" t="n">
        <x:v>0</x:v>
      </x:c>
      <x:c r="N180" s="86"/>
      <x:c r="O180" s="84"/>
      <x:c r="P180" s="86"/>
      <x:c r="Q180" s="80" t="str">
        <x:v>https://leetcode.com/problems/minimized-maximum-of-products-distributed-to-any-store/</x:v>
      </x:c>
      <x:c r="R180" s="80" t="str"/>
      <x:c r="S180" s="84" t="n">
        <x:f>IF(AND(OR(H180="Solved",H180="Revised"),G180="New (counts toward 400)"),1,0)</x:f>
        <x:v>0</x:v>
      </x:c>
    </x:row>
    <x:row r="181" ht="48" customHeight="1">
      <x:c r="A181" s="84" t="n">
        <x:v>178</x:v>
      </x:c>
      <x:c r="B181" s="84" t="n">
        <x:v>739</x:v>
      </x:c>
      <x:c r="C181" s="80" t="str">
        <x:v>Daily Temperatures</x:v>
      </x:c>
      <x:c r="D181" s="84" t="str">
        <x:v>Medium</x:v>
      </x:c>
      <x:c r="E181" s="84" t="str">
        <x:v>Monotonic Stack</x:v>
      </x:c>
      <x:c r="F181" s="84" t="str">
        <x:v>P1</x:v>
      </x:c>
      <x:c r="G181" s="84" t="str">
        <x:v>New (counts toward 400)</x:v>
      </x:c>
      <x:c r="H181" s="84" t="str">
        <x:v>Not Started</x:v>
      </x:c>
      <x:c r="I181" s="80" t="str">
        <x:v>Scan forward from every day until a warmer day appears.</x:v>
      </x:c>
      <x:c r="J181" s="80" t="str">
        <x:v>Maintain a decreasing stack of indices and resolve them when a warmer value arrives.</x:v>
      </x:c>
      <x:c r="K181" s="80" t="str">
        <x:v>O(n)</x:v>
      </x:c>
      <x:c r="L181" s="80" t="str">
        <x:v>O(n)</x:v>
      </x:c>
      <x:c r="M181" s="84" t="n">
        <x:v>0</x:v>
      </x:c>
      <x:c r="N181" s="86"/>
      <x:c r="O181" s="84"/>
      <x:c r="P181" s="86"/>
      <x:c r="Q181" s="80" t="str">
        <x:v>https://leetcode.com/problems/daily-temperatures/</x:v>
      </x:c>
      <x:c r="R181" s="80" t="str"/>
      <x:c r="S181" s="84" t="n">
        <x:f>IF(AND(OR(H181="Solved",H181="Revised"),G181="New (counts toward 400)"),1,0)</x:f>
        <x:v>0</x:v>
      </x:c>
    </x:row>
    <x:row r="182" ht="48" customHeight="1">
      <x:c r="A182" s="84" t="n">
        <x:v>179</x:v>
      </x:c>
      <x:c r="B182" s="84" t="n">
        <x:v>496</x:v>
      </x:c>
      <x:c r="C182" s="80" t="str">
        <x:v>Next Greater Element I</x:v>
      </x:c>
      <x:c r="D182" s="84" t="str">
        <x:v>Easy</x:v>
      </x:c>
      <x:c r="E182" s="84" t="str">
        <x:v>Monotonic Stack</x:v>
      </x:c>
      <x:c r="F182" s="84" t="str">
        <x:v>P2</x:v>
      </x:c>
      <x:c r="G182" s="84" t="str">
        <x:v>New (counts toward 400)</x:v>
      </x:c>
      <x:c r="H182" s="84" t="str">
        <x:v>Not Started</x:v>
      </x:c>
      <x:c r="I182" s="80" t="str">
        <x:v>Repeatedly sort remaining candidates or rescan prior elements for each answer.</x:v>
      </x:c>
      <x:c r="J182" s="80" t="str">
        <x:v>Use a heap for dynamic min/max or top-k; use a monotonic stack/deque for next-greater/smaller or sliding extrema.</x:v>
      </x:c>
      <x:c r="K182" s="80" t="str">
        <x:v>O(n log k) or O(n)</x:v>
      </x:c>
      <x:c r="L182" s="80" t="str">
        <x:v>O(n) typical</x:v>
      </x:c>
      <x:c r="M182" s="84" t="n">
        <x:v>0</x:v>
      </x:c>
      <x:c r="N182" s="86"/>
      <x:c r="O182" s="84"/>
      <x:c r="P182" s="86"/>
      <x:c r="Q182" s="80" t="str">
        <x:v>https://leetcode.com/problems/next-greater-element-i/</x:v>
      </x:c>
      <x:c r="R182" s="80" t="str"/>
      <x:c r="S182" s="84" t="n">
        <x:f>IF(AND(OR(H182="Solved",H182="Revised"),G182="New (counts toward 400)"),1,0)</x:f>
        <x:v>0</x:v>
      </x:c>
    </x:row>
    <x:row r="183" ht="48" customHeight="1">
      <x:c r="A183" s="84" t="n">
        <x:v>180</x:v>
      </x:c>
      <x:c r="B183" s="84" t="n">
        <x:v>503</x:v>
      </x:c>
      <x:c r="C183" s="80" t="str">
        <x:v>Next Greater Element II</x:v>
      </x:c>
      <x:c r="D183" s="84" t="str">
        <x:v>Medium</x:v>
      </x:c>
      <x:c r="E183" s="84" t="str">
        <x:v>Monotonic Stack</x:v>
      </x:c>
      <x:c r="F183" s="84" t="str">
        <x:v>P2</x:v>
      </x:c>
      <x:c r="G183" s="84" t="str">
        <x:v>New (counts toward 400)</x:v>
      </x:c>
      <x:c r="H183" s="84" t="str">
        <x:v>Not Started</x:v>
      </x:c>
      <x:c r="I183" s="80" t="str">
        <x:v>Repeatedly sort remaining candidates or rescan prior elements for each answer.</x:v>
      </x:c>
      <x:c r="J183" s="80" t="str">
        <x:v>Use a heap for dynamic min/max or top-k; use a monotonic stack/deque for next-greater/smaller or sliding extrema.</x:v>
      </x:c>
      <x:c r="K183" s="80" t="str">
        <x:v>O(n log k) or O(n)</x:v>
      </x:c>
      <x:c r="L183" s="80" t="str">
        <x:v>O(n) typical</x:v>
      </x:c>
      <x:c r="M183" s="84" t="n">
        <x:v>0</x:v>
      </x:c>
      <x:c r="N183" s="86"/>
      <x:c r="O183" s="84"/>
      <x:c r="P183" s="86"/>
      <x:c r="Q183" s="80" t="str">
        <x:v>https://leetcode.com/problems/next-greater-element-ii/</x:v>
      </x:c>
      <x:c r="R183" s="80" t="str"/>
      <x:c r="S183" s="84" t="n">
        <x:f>IF(AND(OR(H183="Solved",H183="Revised"),G183="New (counts toward 400)"),1,0)</x:f>
        <x:v>0</x:v>
      </x:c>
    </x:row>
    <x:row r="184" ht="48" customHeight="1">
      <x:c r="A184" s="84" t="n">
        <x:v>181</x:v>
      </x:c>
      <x:c r="B184" s="84" t="n">
        <x:v>84</x:v>
      </x:c>
      <x:c r="C184" s="80" t="str">
        <x:v>Largest Rectangle in Histogram</x:v>
      </x:c>
      <x:c r="D184" s="84" t="str">
        <x:v>Hard</x:v>
      </x:c>
      <x:c r="E184" s="84" t="str">
        <x:v>Monotonic Stack</x:v>
      </x:c>
      <x:c r="F184" s="84" t="str">
        <x:v>P1</x:v>
      </x:c>
      <x:c r="G184" s="84" t="str">
        <x:v>New (counts toward 400)</x:v>
      </x:c>
      <x:c r="H184" s="84" t="str">
        <x:v>Not Started</x:v>
      </x:c>
      <x:c r="I184" s="80" t="str">
        <x:v>Compute the minimum height for every interval.</x:v>
      </x:c>
      <x:c r="J184" s="80" t="str">
        <x:v>Increasing monotonic stack of indices; when a height is popped, calculate the maximal width for it.</x:v>
      </x:c>
      <x:c r="K184" s="80" t="str">
        <x:v>O(n)</x:v>
      </x:c>
      <x:c r="L184" s="80" t="str">
        <x:v>O(n)</x:v>
      </x:c>
      <x:c r="M184" s="84" t="n">
        <x:v>0</x:v>
      </x:c>
      <x:c r="N184" s="86"/>
      <x:c r="O184" s="84"/>
      <x:c r="P184" s="86"/>
      <x:c r="Q184" s="80" t="str">
        <x:v>https://leetcode.com/problems/largest-rectangle-in-histogram/</x:v>
      </x:c>
      <x:c r="R184" s="80" t="str"/>
      <x:c r="S184" s="84" t="n">
        <x:f>IF(AND(OR(H184="Solved",H184="Revised"),G184="New (counts toward 400)"),1,0)</x:f>
        <x:v>0</x:v>
      </x:c>
    </x:row>
    <x:row r="185" ht="48" customHeight="1">
      <x:c r="A185" s="84" t="n">
        <x:v>182</x:v>
      </x:c>
      <x:c r="B185" s="84" t="n">
        <x:v>85</x:v>
      </x:c>
      <x:c r="C185" s="80" t="str">
        <x:v>Maximal Rectangle</x:v>
      </x:c>
      <x:c r="D185" s="84" t="str">
        <x:v>Hard</x:v>
      </x:c>
      <x:c r="E185" s="84" t="str">
        <x:v>Matrix / Monotonic Stack</x:v>
      </x:c>
      <x:c r="F185" s="84" t="str">
        <x:v>P2</x:v>
      </x:c>
      <x:c r="G185" s="84" t="str">
        <x:v>New (counts toward 400)</x:v>
      </x:c>
      <x:c r="H185" s="84" t="str">
        <x:v>Not Started</x:v>
      </x:c>
      <x:c r="I185" s="80" t="str">
        <x:v>Repeatedly sort remaining candidates or rescan prior elements for each answer.</x:v>
      </x:c>
      <x:c r="J185" s="80" t="str">
        <x:v>Use a heap for dynamic min/max or top-k; use a monotonic stack/deque for next-greater/smaller or sliding extrema.</x:v>
      </x:c>
      <x:c r="K185" s="80" t="str">
        <x:v>O(n log k) or O(n)</x:v>
      </x:c>
      <x:c r="L185" s="80" t="str">
        <x:v>O(n) typical</x:v>
      </x:c>
      <x:c r="M185" s="84" t="n">
        <x:v>0</x:v>
      </x:c>
      <x:c r="N185" s="86"/>
      <x:c r="O185" s="84"/>
      <x:c r="P185" s="86"/>
      <x:c r="Q185" s="80" t="str">
        <x:v>https://leetcode.com/problems/maximal-rectangle/</x:v>
      </x:c>
      <x:c r="R185" s="80" t="str"/>
      <x:c r="S185" s="84" t="n">
        <x:f>IF(AND(OR(H185="Solved",H185="Revised"),G185="New (counts toward 400)"),1,0)</x:f>
        <x:v>0</x:v>
      </x:c>
    </x:row>
    <x:row r="186" ht="48" customHeight="1">
      <x:c r="A186" s="84" t="n">
        <x:v>183</x:v>
      </x:c>
      <x:c r="B186" s="84" t="n">
        <x:v>907</x:v>
      </x:c>
      <x:c r="C186" s="80" t="str">
        <x:v>Sum of Subarray Minimums</x:v>
      </x:c>
      <x:c r="D186" s="84" t="str">
        <x:v>Medium</x:v>
      </x:c>
      <x:c r="E186" s="84" t="str">
        <x:v>Monotonic Stack</x:v>
      </x:c>
      <x:c r="F186" s="84" t="str">
        <x:v>P2</x:v>
      </x:c>
      <x:c r="G186" s="84" t="str">
        <x:v>New (counts toward 400)</x:v>
      </x:c>
      <x:c r="H186" s="84" t="str">
        <x:v>Not Started</x:v>
      </x:c>
      <x:c r="I186" s="80" t="str">
        <x:v>Repeatedly sort remaining candidates or rescan prior elements for each answer.</x:v>
      </x:c>
      <x:c r="J186" s="80" t="str">
        <x:v>Use a heap for dynamic min/max or top-k; use a monotonic stack/deque for next-greater/smaller or sliding extrema.</x:v>
      </x:c>
      <x:c r="K186" s="80" t="str">
        <x:v>O(n log k) or O(n)</x:v>
      </x:c>
      <x:c r="L186" s="80" t="str">
        <x:v>O(n) typical</x:v>
      </x:c>
      <x:c r="M186" s="84" t="n">
        <x:v>0</x:v>
      </x:c>
      <x:c r="N186" s="86"/>
      <x:c r="O186" s="84"/>
      <x:c r="P186" s="86"/>
      <x:c r="Q186" s="80" t="str">
        <x:v>https://leetcode.com/problems/sum-of-subarray-minimums/</x:v>
      </x:c>
      <x:c r="R186" s="80" t="str"/>
      <x:c r="S186" s="84" t="n">
        <x:f>IF(AND(OR(H186="Solved",H186="Revised"),G186="New (counts toward 400)"),1,0)</x:f>
        <x:v>0</x:v>
      </x:c>
    </x:row>
    <x:row r="187" ht="48" customHeight="1">
      <x:c r="A187" s="84" t="n">
        <x:v>184</x:v>
      </x:c>
      <x:c r="B187" s="84" t="n">
        <x:v>402</x:v>
      </x:c>
      <x:c r="C187" s="80" t="str">
        <x:v>Remove K Digits</x:v>
      </x:c>
      <x:c r="D187" s="84" t="str">
        <x:v>Medium</x:v>
      </x:c>
      <x:c r="E187" s="84" t="str">
        <x:v>Monotonic Stack / Greedy</x:v>
      </x:c>
      <x:c r="F187" s="84" t="str">
        <x:v>P2</x:v>
      </x:c>
      <x:c r="G187" s="84" t="str">
        <x:v>New (counts toward 400)</x:v>
      </x:c>
      <x:c r="H187" s="84" t="str">
        <x:v>Not Started</x:v>
      </x:c>
      <x:c r="I187" s="80" t="str">
        <x:v>Repeatedly sort remaining candidates or rescan prior elements for each answer.</x:v>
      </x:c>
      <x:c r="J187" s="80" t="str">
        <x:v>Use a heap for dynamic min/max or top-k; use a monotonic stack/deque for next-greater/smaller or sliding extrema.</x:v>
      </x:c>
      <x:c r="K187" s="80" t="str">
        <x:v>O(n log k) or O(n)</x:v>
      </x:c>
      <x:c r="L187" s="80" t="str">
        <x:v>O(n) typical</x:v>
      </x:c>
      <x:c r="M187" s="84" t="n">
        <x:v>0</x:v>
      </x:c>
      <x:c r="N187" s="86"/>
      <x:c r="O187" s="84"/>
      <x:c r="P187" s="86"/>
      <x:c r="Q187" s="80" t="str">
        <x:v>https://leetcode.com/problems/remove-k-digits/</x:v>
      </x:c>
      <x:c r="R187" s="80" t="str"/>
      <x:c r="S187" s="84" t="n">
        <x:f>IF(AND(OR(H187="Solved",H187="Revised"),G187="New (counts toward 400)"),1,0)</x:f>
        <x:v>0</x:v>
      </x:c>
    </x:row>
    <x:row r="188" ht="48" customHeight="1">
      <x:c r="A188" s="84" t="n">
        <x:v>185</x:v>
      </x:c>
      <x:c r="B188" s="84" t="n">
        <x:v>316</x:v>
      </x:c>
      <x:c r="C188" s="80" t="str">
        <x:v>Remove Duplicate Letters</x:v>
      </x:c>
      <x:c r="D188" s="84" t="str">
        <x:v>Medium</x:v>
      </x:c>
      <x:c r="E188" s="84" t="str">
        <x:v>Monotonic Stack / Greedy</x:v>
      </x:c>
      <x:c r="F188" s="84" t="str">
        <x:v>P2</x:v>
      </x:c>
      <x:c r="G188" s="84" t="str">
        <x:v>New (counts toward 400)</x:v>
      </x:c>
      <x:c r="H188" s="84" t="str">
        <x:v>Not Started</x:v>
      </x:c>
      <x:c r="I188" s="80" t="str">
        <x:v>Repeatedly sort remaining candidates or rescan prior elements for each answer.</x:v>
      </x:c>
      <x:c r="J188" s="80" t="str">
        <x:v>Use a heap for dynamic min/max or top-k; use a monotonic stack/deque for next-greater/smaller or sliding extrema.</x:v>
      </x:c>
      <x:c r="K188" s="80" t="str">
        <x:v>O(n log k) or O(n)</x:v>
      </x:c>
      <x:c r="L188" s="80" t="str">
        <x:v>O(n) typical</x:v>
      </x:c>
      <x:c r="M188" s="84" t="n">
        <x:v>0</x:v>
      </x:c>
      <x:c r="N188" s="86"/>
      <x:c r="O188" s="84"/>
      <x:c r="P188" s="86"/>
      <x:c r="Q188" s="80" t="str">
        <x:v>https://leetcode.com/problems/remove-duplicate-letters/</x:v>
      </x:c>
      <x:c r="R188" s="80" t="str"/>
      <x:c r="S188" s="84" t="n">
        <x:f>IF(AND(OR(H188="Solved",H188="Revised"),G188="New (counts toward 400)"),1,0)</x:f>
        <x:v>0</x:v>
      </x:c>
    </x:row>
    <x:row r="189" ht="48" customHeight="1">
      <x:c r="A189" s="84" t="n">
        <x:v>186</x:v>
      </x:c>
      <x:c r="B189" s="84" t="n">
        <x:v>1209</x:v>
      </x:c>
      <x:c r="C189" s="80" t="str">
        <x:v>Remove All Adjacent Duplicates in String II</x:v>
      </x:c>
      <x:c r="D189" s="84" t="str">
        <x:v>Medium</x:v>
      </x:c>
      <x:c r="E189" s="84" t="str">
        <x:v>Stack / String</x:v>
      </x:c>
      <x:c r="F189" s="84" t="str">
        <x:v>P2</x:v>
      </x:c>
      <x:c r="G189" s="84" t="str">
        <x:v>New (counts toward 400)</x:v>
      </x:c>
      <x:c r="H189" s="84" t="str">
        <x:v>Not Started</x:v>
      </x:c>
      <x:c r="I189" s="80" t="str">
        <x:v>Repeatedly sort remaining candidates or rescan prior elements for each answer.</x:v>
      </x:c>
      <x:c r="J189" s="80" t="str">
        <x:v>Use a heap for dynamic min/max or top-k; use a monotonic stack/deque for next-greater/smaller or sliding extrema.</x:v>
      </x:c>
      <x:c r="K189" s="80" t="str">
        <x:v>O(n log k) or O(n)</x:v>
      </x:c>
      <x:c r="L189" s="80" t="str">
        <x:v>O(n) typical</x:v>
      </x:c>
      <x:c r="M189" s="84" t="n">
        <x:v>0</x:v>
      </x:c>
      <x:c r="N189" s="86"/>
      <x:c r="O189" s="84"/>
      <x:c r="P189" s="86"/>
      <x:c r="Q189" s="80" t="str">
        <x:v>https://leetcode.com/problems/remove-all-adjacent-duplicates-in-string-ii/</x:v>
      </x:c>
      <x:c r="R189" s="80" t="str"/>
      <x:c r="S189" s="84" t="n">
        <x:f>IF(AND(OR(H189="Solved",H189="Revised"),G189="New (counts toward 400)"),1,0)</x:f>
        <x:v>0</x:v>
      </x:c>
    </x:row>
    <x:row r="190" ht="48" customHeight="1">
      <x:c r="A190" s="84" t="n">
        <x:v>187</x:v>
      </x:c>
      <x:c r="B190" s="84" t="n">
        <x:v>901</x:v>
      </x:c>
      <x:c r="C190" s="80" t="str">
        <x:v>Online Stock Span</x:v>
      </x:c>
      <x:c r="D190" s="84" t="str">
        <x:v>Medium</x:v>
      </x:c>
      <x:c r="E190" s="84" t="str">
        <x:v>Monotonic Stack</x:v>
      </x:c>
      <x:c r="F190" s="84" t="str">
        <x:v>P2</x:v>
      </x:c>
      <x:c r="G190" s="84" t="str">
        <x:v>New (counts toward 400)</x:v>
      </x:c>
      <x:c r="H190" s="84" t="str">
        <x:v>Not Started</x:v>
      </x:c>
      <x:c r="I190" s="80" t="str">
        <x:v>Repeatedly sort remaining candidates or rescan prior elements for each answer.</x:v>
      </x:c>
      <x:c r="J190" s="80" t="str">
        <x:v>Use a heap for dynamic min/max or top-k; use a monotonic stack/deque for next-greater/smaller or sliding extrema.</x:v>
      </x:c>
      <x:c r="K190" s="80" t="str">
        <x:v>O(n log k) or O(n)</x:v>
      </x:c>
      <x:c r="L190" s="80" t="str">
        <x:v>O(n) typical</x:v>
      </x:c>
      <x:c r="M190" s="84" t="n">
        <x:v>0</x:v>
      </x:c>
      <x:c r="N190" s="86"/>
      <x:c r="O190" s="84"/>
      <x:c r="P190" s="86"/>
      <x:c r="Q190" s="80" t="str">
        <x:v>https://leetcode.com/problems/online-stock-span/</x:v>
      </x:c>
      <x:c r="R190" s="80" t="str"/>
      <x:c r="S190" s="84" t="n">
        <x:f>IF(AND(OR(H190="Solved",H190="Revised"),G190="New (counts toward 400)"),1,0)</x:f>
        <x:v>0</x:v>
      </x:c>
    </x:row>
    <x:row r="191" ht="48" customHeight="1">
      <x:c r="A191" s="84" t="n">
        <x:v>188</x:v>
      </x:c>
      <x:c r="B191" s="84" t="n">
        <x:v>155</x:v>
      </x:c>
      <x:c r="C191" s="80" t="str">
        <x:v>Min Stack</x:v>
      </x:c>
      <x:c r="D191" s="84" t="str">
        <x:v>Medium</x:v>
      </x:c>
      <x:c r="E191" s="84" t="str">
        <x:v>Stack / Design</x:v>
      </x:c>
      <x:c r="F191" s="84" t="str">
        <x:v>P1</x:v>
      </x:c>
      <x:c r="G191" s="84" t="str">
        <x:v>New (counts toward 400)</x:v>
      </x:c>
      <x:c r="H191" s="84" t="str">
        <x:v>Not Started</x:v>
      </x:c>
      <x:c r="I191" s="80" t="str">
        <x:v>Repeatedly sort remaining candidates or rescan prior elements for each answer.</x:v>
      </x:c>
      <x:c r="J191" s="80" t="str">
        <x:v>Use a heap for dynamic min/max or top-k; use a monotonic stack/deque for next-greater/smaller or sliding extrema.</x:v>
      </x:c>
      <x:c r="K191" s="80" t="str">
        <x:v>O(n log k) or O(n)</x:v>
      </x:c>
      <x:c r="L191" s="80" t="str">
        <x:v>O(n) typical</x:v>
      </x:c>
      <x:c r="M191" s="84" t="n">
        <x:v>0</x:v>
      </x:c>
      <x:c r="N191" s="86"/>
      <x:c r="O191" s="84"/>
      <x:c r="P191" s="86"/>
      <x:c r="Q191" s="80" t="str">
        <x:v>https://leetcode.com/problems/min-stack/</x:v>
      </x:c>
      <x:c r="R191" s="80" t="str"/>
      <x:c r="S191" s="84" t="n">
        <x:f>IF(AND(OR(H191="Solved",H191="Revised"),G191="New (counts toward 400)"),1,0)</x:f>
        <x:v>0</x:v>
      </x:c>
    </x:row>
    <x:row r="192" ht="48" customHeight="1">
      <x:c r="A192" s="84" t="n">
        <x:v>189</x:v>
      </x:c>
      <x:c r="B192" s="84" t="n">
        <x:v>232</x:v>
      </x:c>
      <x:c r="C192" s="80" t="str">
        <x:v>Implement Queue using Stacks</x:v>
      </x:c>
      <x:c r="D192" s="84" t="str">
        <x:v>Easy</x:v>
      </x:c>
      <x:c r="E192" s="84" t="str">
        <x:v>Stack / Queue</x:v>
      </x:c>
      <x:c r="F192" s="84" t="str">
        <x:v>P2</x:v>
      </x:c>
      <x:c r="G192" s="84" t="str">
        <x:v>New (counts toward 400)</x:v>
      </x:c>
      <x:c r="H192" s="84" t="str">
        <x:v>Not Started</x:v>
      </x:c>
      <x:c r="I192" s="80" t="str">
        <x:v>Repeatedly sort remaining candidates or rescan prior elements for each answer.</x:v>
      </x:c>
      <x:c r="J192" s="80" t="str">
        <x:v>Use a heap for dynamic min/max or top-k; use a monotonic stack/deque for next-greater/smaller or sliding extrema.</x:v>
      </x:c>
      <x:c r="K192" s="80" t="str">
        <x:v>O(n log k) or O(n)</x:v>
      </x:c>
      <x:c r="L192" s="80" t="str">
        <x:v>O(n) typical</x:v>
      </x:c>
      <x:c r="M192" s="84" t="n">
        <x:v>0</x:v>
      </x:c>
      <x:c r="N192" s="86"/>
      <x:c r="O192" s="84"/>
      <x:c r="P192" s="86"/>
      <x:c r="Q192" s="80" t="str">
        <x:v>https://leetcode.com/problems/implement-queue-using-stacks/</x:v>
      </x:c>
      <x:c r="R192" s="80" t="str"/>
      <x:c r="S192" s="84" t="n">
        <x:f>IF(AND(OR(H192="Solved",H192="Revised"),G192="New (counts toward 400)"),1,0)</x:f>
        <x:v>0</x:v>
      </x:c>
    </x:row>
    <x:row r="193" ht="48" customHeight="1">
      <x:c r="A193" s="84" t="n">
        <x:v>190</x:v>
      </x:c>
      <x:c r="B193" s="84" t="n">
        <x:v>225</x:v>
      </x:c>
      <x:c r="C193" s="80" t="str">
        <x:v>Implement Stack using Queues</x:v>
      </x:c>
      <x:c r="D193" s="84" t="str">
        <x:v>Easy</x:v>
      </x:c>
      <x:c r="E193" s="84" t="str">
        <x:v>Queue / Stack</x:v>
      </x:c>
      <x:c r="F193" s="84" t="str">
        <x:v>P3</x:v>
      </x:c>
      <x:c r="G193" s="84" t="str">
        <x:v>New (counts toward 400)</x:v>
      </x:c>
      <x:c r="H193" s="84" t="str">
        <x:v>Not Started</x:v>
      </x:c>
      <x:c r="I193" s="80" t="str">
        <x:v>Repeatedly sort remaining candidates or rescan prior elements for each answer.</x:v>
      </x:c>
      <x:c r="J193" s="80" t="str">
        <x:v>Use a heap for dynamic min/max or top-k; use a monotonic stack/deque for next-greater/smaller or sliding extrema.</x:v>
      </x:c>
      <x:c r="K193" s="80" t="str">
        <x:v>O(n log k) or O(n)</x:v>
      </x:c>
      <x:c r="L193" s="80" t="str">
        <x:v>O(n) typical</x:v>
      </x:c>
      <x:c r="M193" s="84" t="n">
        <x:v>0</x:v>
      </x:c>
      <x:c r="N193" s="86"/>
      <x:c r="O193" s="84"/>
      <x:c r="P193" s="86"/>
      <x:c r="Q193" s="80" t="str">
        <x:v>https://leetcode.com/problems/implement-stack-using-queues/</x:v>
      </x:c>
      <x:c r="R193" s="80" t="str"/>
      <x:c r="S193" s="84" t="n">
        <x:f>IF(AND(OR(H193="Solved",H193="Revised"),G193="New (counts toward 400)"),1,0)</x:f>
        <x:v>0</x:v>
      </x:c>
    </x:row>
    <x:row r="194" ht="48" customHeight="1">
      <x:c r="A194" s="84" t="n">
        <x:v>191</x:v>
      </x:c>
      <x:c r="B194" s="84" t="n">
        <x:v>239</x:v>
      </x:c>
      <x:c r="C194" s="80" t="str">
        <x:v>Sliding Window Maximum</x:v>
      </x:c>
      <x:c r="D194" s="84" t="str">
        <x:v>Hard</x:v>
      </x:c>
      <x:c r="E194" s="84" t="str">
        <x:v>Monotonic Deque</x:v>
      </x:c>
      <x:c r="F194" s="84" t="str">
        <x:v>P1</x:v>
      </x:c>
      <x:c r="G194" s="84" t="str">
        <x:v>New (counts toward 400)</x:v>
      </x:c>
      <x:c r="H194" s="84" t="str">
        <x:v>Not Started</x:v>
      </x:c>
      <x:c r="I194" s="80" t="str">
        <x:v>Enumerate candidates directly and compare them with the requirements.</x:v>
      </x:c>
      <x:c r="J194" s="80" t="str">
        <x:v>Identify the invariant/state, and avoid recomputing information already established.</x:v>
      </x:c>
      <x:c r="K194" s="80" t="str">
        <x:v>Pattern-dependent</x:v>
      </x:c>
      <x:c r="L194" s="80" t="str">
        <x:v>Pattern-dependent</x:v>
      </x:c>
      <x:c r="M194" s="84" t="n">
        <x:v>0</x:v>
      </x:c>
      <x:c r="N194" s="86"/>
      <x:c r="O194" s="84"/>
      <x:c r="P194" s="86"/>
      <x:c r="Q194" s="80" t="str">
        <x:v>https://leetcode.com/problems/sliding-window-maximum/</x:v>
      </x:c>
      <x:c r="R194" s="80" t="str"/>
      <x:c r="S194" s="84" t="n">
        <x:f>IF(AND(OR(H194="Solved",H194="Revised"),G194="New (counts toward 400)"),1,0)</x:f>
        <x:v>0</x:v>
      </x:c>
    </x:row>
    <x:row r="195" ht="48" customHeight="1">
      <x:c r="A195" s="84" t="n">
        <x:v>192</x:v>
      </x:c>
      <x:c r="B195" s="84" t="n">
        <x:v>295</x:v>
      </x:c>
      <x:c r="C195" s="80" t="str">
        <x:v>Find Median from Data Stream</x:v>
      </x:c>
      <x:c r="D195" s="84" t="str">
        <x:v>Hard</x:v>
      </x:c>
      <x:c r="E195" s="84" t="str">
        <x:v>Two Heaps</x:v>
      </x:c>
      <x:c r="F195" s="84" t="str">
        <x:v>P1</x:v>
      </x:c>
      <x:c r="G195" s="84" t="str">
        <x:v>New (counts toward 400)</x:v>
      </x:c>
      <x:c r="H195" s="84" t="str">
        <x:v>Not Started</x:v>
      </x:c>
      <x:c r="I195" s="80" t="str">
        <x:v>Sort all stored values on every insertion.</x:v>
      </x:c>
      <x:c r="J195" s="80" t="str">
        <x:v>Max-heap for lower half, min-heap for upper half; rebalance their sizes.</x:v>
      </x:c>
      <x:c r="K195" s="80" t="str">
        <x:v>O(log n) add, O(1) median</x:v>
      </x:c>
      <x:c r="L195" s="80" t="str">
        <x:v>O(n)</x:v>
      </x:c>
      <x:c r="M195" s="84" t="n">
        <x:v>0</x:v>
      </x:c>
      <x:c r="N195" s="86"/>
      <x:c r="O195" s="84"/>
      <x:c r="P195" s="86"/>
      <x:c r="Q195" s="80" t="str">
        <x:v>https://leetcode.com/problems/find-median-from-data-stream/</x:v>
      </x:c>
      <x:c r="R195" s="80" t="str"/>
      <x:c r="S195" s="84" t="n">
        <x:f>IF(AND(OR(H195="Solved",H195="Revised"),G195="New (counts toward 400)"),1,0)</x:f>
        <x:v>0</x:v>
      </x:c>
    </x:row>
    <x:row r="196" ht="48" customHeight="1">
      <x:c r="A196" s="84" t="n">
        <x:v>193</x:v>
      </x:c>
      <x:c r="B196" s="84" t="n">
        <x:v>703</x:v>
      </x:c>
      <x:c r="C196" s="80" t="str">
        <x:v>Kth Largest Element in a Stream</x:v>
      </x:c>
      <x:c r="D196" s="84" t="str">
        <x:v>Easy</x:v>
      </x:c>
      <x:c r="E196" s="84" t="str">
        <x:v>Heap</x:v>
      </x:c>
      <x:c r="F196" s="84" t="str">
        <x:v>P2</x:v>
      </x:c>
      <x:c r="G196" s="84" t="str">
        <x:v>New (counts toward 400)</x:v>
      </x:c>
      <x:c r="H196" s="84" t="str">
        <x:v>Not Started</x:v>
      </x:c>
      <x:c r="I196" s="80" t="str">
        <x:v>Repeatedly sort remaining candidates or rescan prior elements for each answer.</x:v>
      </x:c>
      <x:c r="J196" s="80" t="str">
        <x:v>Use a heap for dynamic min/max or top-k; use a monotonic stack/deque for next-greater/smaller or sliding extrema.</x:v>
      </x:c>
      <x:c r="K196" s="80" t="str">
        <x:v>O(n log k) or O(n)</x:v>
      </x:c>
      <x:c r="L196" s="80" t="str">
        <x:v>O(n) typical</x:v>
      </x:c>
      <x:c r="M196" s="84" t="n">
        <x:v>0</x:v>
      </x:c>
      <x:c r="N196" s="86"/>
      <x:c r="O196" s="84"/>
      <x:c r="P196" s="86"/>
      <x:c r="Q196" s="80" t="str">
        <x:v>https://leetcode.com/problems/kth-largest-element-in-a-stream/</x:v>
      </x:c>
      <x:c r="R196" s="80" t="str"/>
      <x:c r="S196" s="84" t="n">
        <x:f>IF(AND(OR(H196="Solved",H196="Revised"),G196="New (counts toward 400)"),1,0)</x:f>
        <x:v>0</x:v>
      </x:c>
    </x:row>
    <x:row r="197" ht="48" customHeight="1">
      <x:c r="A197" s="84" t="n">
        <x:v>194</x:v>
      </x:c>
      <x:c r="B197" s="84" t="n">
        <x:v>215</x:v>
      </x:c>
      <x:c r="C197" s="80" t="str">
        <x:v>Kth Largest Element in an Array</x:v>
      </x:c>
      <x:c r="D197" s="84" t="str">
        <x:v>Medium</x:v>
      </x:c>
      <x:c r="E197" s="84" t="str">
        <x:v>Heap / Quickselect</x:v>
      </x:c>
      <x:c r="F197" s="84" t="str">
        <x:v>P1</x:v>
      </x:c>
      <x:c r="G197" s="84" t="str">
        <x:v>New (counts toward 400)</x:v>
      </x:c>
      <x:c r="H197" s="84" t="str">
        <x:v>Not Started</x:v>
      </x:c>
      <x:c r="I197" s="80" t="str">
        <x:v>Repeatedly sort remaining candidates or rescan prior elements for each answer.</x:v>
      </x:c>
      <x:c r="J197" s="80" t="str">
        <x:v>Use a heap for dynamic min/max or top-k; use a monotonic stack/deque for next-greater/smaller or sliding extrema.</x:v>
      </x:c>
      <x:c r="K197" s="80" t="str">
        <x:v>O(n log k) or O(n)</x:v>
      </x:c>
      <x:c r="L197" s="80" t="str">
        <x:v>O(n) typical</x:v>
      </x:c>
      <x:c r="M197" s="84" t="n">
        <x:v>0</x:v>
      </x:c>
      <x:c r="N197" s="86"/>
      <x:c r="O197" s="84"/>
      <x:c r="P197" s="86"/>
      <x:c r="Q197" s="80" t="str">
        <x:v>https://leetcode.com/problems/kth-largest-element-in-an-array/</x:v>
      </x:c>
      <x:c r="R197" s="80" t="str"/>
      <x:c r="S197" s="84" t="n">
        <x:f>IF(AND(OR(H197="Solved",H197="Revised"),G197="New (counts toward 400)"),1,0)</x:f>
        <x:v>0</x:v>
      </x:c>
    </x:row>
    <x:row r="198" ht="48" customHeight="1">
      <x:c r="A198" s="84" t="n">
        <x:v>195</x:v>
      </x:c>
      <x:c r="B198" s="84" t="n">
        <x:v>973</x:v>
      </x:c>
      <x:c r="C198" s="80" t="str">
        <x:v>K Closest Points to Origin</x:v>
      </x:c>
      <x:c r="D198" s="84" t="str">
        <x:v>Medium</x:v>
      </x:c>
      <x:c r="E198" s="84" t="str">
        <x:v>Heap / Quickselect</x:v>
      </x:c>
      <x:c r="F198" s="84" t="str">
        <x:v>P1</x:v>
      </x:c>
      <x:c r="G198" s="84" t="str">
        <x:v>New (counts toward 400)</x:v>
      </x:c>
      <x:c r="H198" s="84" t="str">
        <x:v>Not Started</x:v>
      </x:c>
      <x:c r="I198" s="80" t="str">
        <x:v>Repeatedly sort remaining candidates or rescan prior elements for each answer.</x:v>
      </x:c>
      <x:c r="J198" s="80" t="str">
        <x:v>Use a heap for dynamic min/max or top-k; use a monotonic stack/deque for next-greater/smaller or sliding extrema.</x:v>
      </x:c>
      <x:c r="K198" s="80" t="str">
        <x:v>O(n log k) or O(n)</x:v>
      </x:c>
      <x:c r="L198" s="80" t="str">
        <x:v>O(n) typical</x:v>
      </x:c>
      <x:c r="M198" s="84" t="n">
        <x:v>0</x:v>
      </x:c>
      <x:c r="N198" s="86"/>
      <x:c r="O198" s="84"/>
      <x:c r="P198" s="86"/>
      <x:c r="Q198" s="80" t="str">
        <x:v>https://leetcode.com/problems/k-closest-points-to-origin/</x:v>
      </x:c>
      <x:c r="R198" s="80" t="str"/>
      <x:c r="S198" s="84" t="n">
        <x:f>IF(AND(OR(H198="Solved",H198="Revised"),G198="New (counts toward 400)"),1,0)</x:f>
        <x:v>0</x:v>
      </x:c>
    </x:row>
    <x:row r="199" ht="48" customHeight="1">
      <x:c r="A199" s="84" t="n">
        <x:v>196</x:v>
      </x:c>
      <x:c r="B199" s="84" t="n">
        <x:v>692</x:v>
      </x:c>
      <x:c r="C199" s="80" t="str">
        <x:v>Top K Frequent Words</x:v>
      </x:c>
      <x:c r="D199" s="84" t="str">
        <x:v>Medium</x:v>
      </x:c>
      <x:c r="E199" s="84" t="str">
        <x:v>Heap / Hashing</x:v>
      </x:c>
      <x:c r="F199" s="84" t="str">
        <x:v>P2</x:v>
      </x:c>
      <x:c r="G199" s="84" t="str">
        <x:v>New (counts toward 400)</x:v>
      </x:c>
      <x:c r="H199" s="84" t="str">
        <x:v>Not Started</x:v>
      </x:c>
      <x:c r="I199" s="80" t="str">
        <x:v>Repeatedly sort remaining candidates or rescan prior elements for each answer.</x:v>
      </x:c>
      <x:c r="J199" s="80" t="str">
        <x:v>Use a heap for dynamic min/max or top-k; use a monotonic stack/deque for next-greater/smaller or sliding extrema.</x:v>
      </x:c>
      <x:c r="K199" s="80" t="str">
        <x:v>O(n log k) or O(n)</x:v>
      </x:c>
      <x:c r="L199" s="80" t="str">
        <x:v>O(n) typical</x:v>
      </x:c>
      <x:c r="M199" s="84" t="n">
        <x:v>0</x:v>
      </x:c>
      <x:c r="N199" s="86"/>
      <x:c r="O199" s="84"/>
      <x:c r="P199" s="86"/>
      <x:c r="Q199" s="80" t="str">
        <x:v>https://leetcode.com/problems/top-k-frequent-words/</x:v>
      </x:c>
      <x:c r="R199" s="80" t="str"/>
      <x:c r="S199" s="84" t="n">
        <x:f>IF(AND(OR(H199="Solved",H199="Revised"),G199="New (counts toward 400)"),1,0)</x:f>
        <x:v>0</x:v>
      </x:c>
    </x:row>
    <x:row r="200" ht="48" customHeight="1">
      <x:c r="A200" s="84" t="n">
        <x:v>197</x:v>
      </x:c>
      <x:c r="B200" s="84" t="n">
        <x:v>621</x:v>
      </x:c>
      <x:c r="C200" s="80" t="str">
        <x:v>Task Scheduler</x:v>
      </x:c>
      <x:c r="D200" s="84" t="str">
        <x:v>Medium</x:v>
      </x:c>
      <x:c r="E200" s="84" t="str">
        <x:v>Heap / Greedy</x:v>
      </x:c>
      <x:c r="F200" s="84" t="str">
        <x:v>P1</x:v>
      </x:c>
      <x:c r="G200" s="84" t="str">
        <x:v>New (counts toward 400)</x:v>
      </x:c>
      <x:c r="H200" s="84" t="str">
        <x:v>Not Started</x:v>
      </x:c>
      <x:c r="I200" s="80" t="str">
        <x:v>Repeatedly sort remaining candidates or rescan prior elements for each answer.</x:v>
      </x:c>
      <x:c r="J200" s="80" t="str">
        <x:v>Use a heap for dynamic min/max or top-k; use a monotonic stack/deque for next-greater/smaller or sliding extrema.</x:v>
      </x:c>
      <x:c r="K200" s="80" t="str">
        <x:v>O(n log k) or O(n)</x:v>
      </x:c>
      <x:c r="L200" s="80" t="str">
        <x:v>O(n) typical</x:v>
      </x:c>
      <x:c r="M200" s="84" t="n">
        <x:v>0</x:v>
      </x:c>
      <x:c r="N200" s="86"/>
      <x:c r="O200" s="84"/>
      <x:c r="P200" s="86"/>
      <x:c r="Q200" s="80" t="str">
        <x:v>https://leetcode.com/problems/task-scheduler/</x:v>
      </x:c>
      <x:c r="R200" s="80" t="str"/>
      <x:c r="S200" s="84" t="n">
        <x:f>IF(AND(OR(H200="Solved",H200="Revised"),G200="New (counts toward 400)"),1,0)</x:f>
        <x:v>0</x:v>
      </x:c>
    </x:row>
    <x:row r="201" ht="48" customHeight="1">
      <x:c r="A201" s="84" t="n">
        <x:v>198</x:v>
      </x:c>
      <x:c r="B201" s="84" t="n">
        <x:v>767</x:v>
      </x:c>
      <x:c r="C201" s="80" t="str">
        <x:v>Reorganize String</x:v>
      </x:c>
      <x:c r="D201" s="84" t="str">
        <x:v>Medium</x:v>
      </x:c>
      <x:c r="E201" s="84" t="str">
        <x:v>Heap / Greedy</x:v>
      </x:c>
      <x:c r="F201" s="84" t="str">
        <x:v>P1</x:v>
      </x:c>
      <x:c r="G201" s="84" t="str">
        <x:v>New (counts toward 400)</x:v>
      </x:c>
      <x:c r="H201" s="84" t="str">
        <x:v>Not Started</x:v>
      </x:c>
      <x:c r="I201" s="80" t="str">
        <x:v>Repeatedly sort remaining candidates or rescan prior elements for each answer.</x:v>
      </x:c>
      <x:c r="J201" s="80" t="str">
        <x:v>Use a heap for dynamic min/max or top-k; use a monotonic stack/deque for next-greater/smaller or sliding extrema.</x:v>
      </x:c>
      <x:c r="K201" s="80" t="str">
        <x:v>O(n log k) or O(n)</x:v>
      </x:c>
      <x:c r="L201" s="80" t="str">
        <x:v>O(n) typical</x:v>
      </x:c>
      <x:c r="M201" s="84" t="n">
        <x:v>0</x:v>
      </x:c>
      <x:c r="N201" s="86"/>
      <x:c r="O201" s="84"/>
      <x:c r="P201" s="86"/>
      <x:c r="Q201" s="80" t="str">
        <x:v>https://leetcode.com/problems/reorganize-string/</x:v>
      </x:c>
      <x:c r="R201" s="80" t="str"/>
      <x:c r="S201" s="84" t="n">
        <x:f>IF(AND(OR(H201="Solved",H201="Revised"),G201="New (counts toward 400)"),1,0)</x:f>
        <x:v>0</x:v>
      </x:c>
    </x:row>
    <x:row r="202" ht="48" customHeight="1">
      <x:c r="A202" s="84" t="n">
        <x:v>199</x:v>
      </x:c>
      <x:c r="B202" s="84" t="n">
        <x:v>451</x:v>
      </x:c>
      <x:c r="C202" s="80" t="str">
        <x:v>Sort Characters By Frequency</x:v>
      </x:c>
      <x:c r="D202" s="84" t="str">
        <x:v>Medium</x:v>
      </x:c>
      <x:c r="E202" s="84" t="str">
        <x:v>Heap / Hashing</x:v>
      </x:c>
      <x:c r="F202" s="84" t="str">
        <x:v>P2</x:v>
      </x:c>
      <x:c r="G202" s="84" t="str">
        <x:v>New (counts toward 400)</x:v>
      </x:c>
      <x:c r="H202" s="84" t="str">
        <x:v>Not Started</x:v>
      </x:c>
      <x:c r="I202" s="80" t="str">
        <x:v>Repeatedly sort remaining candidates or rescan prior elements for each answer.</x:v>
      </x:c>
      <x:c r="J202" s="80" t="str">
        <x:v>Use a heap for dynamic min/max or top-k; use a monotonic stack/deque for next-greater/smaller or sliding extrema.</x:v>
      </x:c>
      <x:c r="K202" s="80" t="str">
        <x:v>O(n log k) or O(n)</x:v>
      </x:c>
      <x:c r="L202" s="80" t="str">
        <x:v>O(n) typical</x:v>
      </x:c>
      <x:c r="M202" s="84" t="n">
        <x:v>0</x:v>
      </x:c>
      <x:c r="N202" s="86"/>
      <x:c r="O202" s="84"/>
      <x:c r="P202" s="86"/>
      <x:c r="Q202" s="80" t="str">
        <x:v>https://leetcode.com/problems/sort-characters-by-frequency/</x:v>
      </x:c>
      <x:c r="R202" s="80" t="str"/>
      <x:c r="S202" s="84" t="n">
        <x:f>IF(AND(OR(H202="Solved",H202="Revised"),G202="New (counts toward 400)"),1,0)</x:f>
        <x:v>0</x:v>
      </x:c>
    </x:row>
    <x:row r="203" ht="48" customHeight="1">
      <x:c r="A203" s="84" t="n">
        <x:v>200</x:v>
      </x:c>
      <x:c r="B203" s="84" t="n">
        <x:v>1046</x:v>
      </x:c>
      <x:c r="C203" s="80" t="str">
        <x:v>Last Stone Weight</x:v>
      </x:c>
      <x:c r="D203" s="84" t="str">
        <x:v>Easy</x:v>
      </x:c>
      <x:c r="E203" s="84" t="str">
        <x:v>Heap</x:v>
      </x:c>
      <x:c r="F203" s="84" t="str">
        <x:v>P3</x:v>
      </x:c>
      <x:c r="G203" s="84" t="str">
        <x:v>New (counts toward 400)</x:v>
      </x:c>
      <x:c r="H203" s="84" t="str">
        <x:v>Not Started</x:v>
      </x:c>
      <x:c r="I203" s="80" t="str">
        <x:v>Repeatedly sort remaining candidates or rescan prior elements for each answer.</x:v>
      </x:c>
      <x:c r="J203" s="80" t="str">
        <x:v>Use a heap for dynamic min/max or top-k; use a monotonic stack/deque for next-greater/smaller or sliding extrema.</x:v>
      </x:c>
      <x:c r="K203" s="80" t="str">
        <x:v>O(n log k) or O(n)</x:v>
      </x:c>
      <x:c r="L203" s="80" t="str">
        <x:v>O(n) typical</x:v>
      </x:c>
      <x:c r="M203" s="84" t="n">
        <x:v>0</x:v>
      </x:c>
      <x:c r="N203" s="86"/>
      <x:c r="O203" s="84"/>
      <x:c r="P203" s="86"/>
      <x:c r="Q203" s="80" t="str">
        <x:v>https://leetcode.com/problems/last-stone-weight/</x:v>
      </x:c>
      <x:c r="R203" s="80" t="str"/>
      <x:c r="S203" s="84" t="n">
        <x:f>IF(AND(OR(H203="Solved",H203="Revised"),G203="New (counts toward 400)"),1,0)</x:f>
        <x:v>0</x:v>
      </x:c>
    </x:row>
    <x:row r="204" ht="48" customHeight="1">
      <x:c r="A204" s="84" t="n">
        <x:v>201</x:v>
      </x:c>
      <x:c r="B204" s="84" t="n">
        <x:v>502</x:v>
      </x:c>
      <x:c r="C204" s="80" t="str">
        <x:v>IPO</x:v>
      </x:c>
      <x:c r="D204" s="84" t="str">
        <x:v>Hard</x:v>
      </x:c>
      <x:c r="E204" s="84" t="str">
        <x:v>Heap / Greedy</x:v>
      </x:c>
      <x:c r="F204" s="84" t="str">
        <x:v>P2</x:v>
      </x:c>
      <x:c r="G204" s="84" t="str">
        <x:v>New (counts toward 400)</x:v>
      </x:c>
      <x:c r="H204" s="84" t="str">
        <x:v>Not Started</x:v>
      </x:c>
      <x:c r="I204" s="80" t="str">
        <x:v>Repeatedly sort remaining candidates or rescan prior elements for each answer.</x:v>
      </x:c>
      <x:c r="J204" s="80" t="str">
        <x:v>Use a heap for dynamic min/max or top-k; use a monotonic stack/deque for next-greater/smaller or sliding extrema.</x:v>
      </x:c>
      <x:c r="K204" s="80" t="str">
        <x:v>O(n log k) or O(n)</x:v>
      </x:c>
      <x:c r="L204" s="80" t="str">
        <x:v>O(n) typical</x:v>
      </x:c>
      <x:c r="M204" s="84" t="n">
        <x:v>0</x:v>
      </x:c>
      <x:c r="N204" s="86"/>
      <x:c r="O204" s="84"/>
      <x:c r="P204" s="86"/>
      <x:c r="Q204" s="80" t="str">
        <x:v>https://leetcode.com/problems/ipo/</x:v>
      </x:c>
      <x:c r="R204" s="80" t="str"/>
      <x:c r="S204" s="84" t="n">
        <x:f>IF(AND(OR(H204="Solved",H204="Revised"),G204="New (counts toward 400)"),1,0)</x:f>
        <x:v>0</x:v>
      </x:c>
    </x:row>
    <x:row r="205" ht="48" customHeight="1">
      <x:c r="A205" s="84" t="n">
        <x:v>202</x:v>
      </x:c>
      <x:c r="B205" s="84" t="n">
        <x:v>253</x:v>
      </x:c>
      <x:c r="C205" s="80" t="str">
        <x:v>Meeting Rooms II</x:v>
      </x:c>
      <x:c r="D205" s="84" t="str">
        <x:v>Medium</x:v>
      </x:c>
      <x:c r="E205" s="84" t="str">
        <x:v>Intervals / Heap</x:v>
      </x:c>
      <x:c r="F205" s="84" t="str">
        <x:v>P1</x:v>
      </x:c>
      <x:c r="G205" s="84" t="str">
        <x:v>New (counts toward 400)</x:v>
      </x:c>
      <x:c r="H205" s="84" t="str">
        <x:v>Not Started</x:v>
      </x:c>
      <x:c r="I205" s="80" t="str">
        <x:v>Repeatedly sort remaining candidates or rescan prior elements for each answer.</x:v>
      </x:c>
      <x:c r="J205" s="80" t="str">
        <x:v>Use a heap for dynamic min/max or top-k; use a monotonic stack/deque for next-greater/smaller or sliding extrema.</x:v>
      </x:c>
      <x:c r="K205" s="80" t="str">
        <x:v>O(n log k) or O(n)</x:v>
      </x:c>
      <x:c r="L205" s="80" t="str">
        <x:v>O(n) typical</x:v>
      </x:c>
      <x:c r="M205" s="84" t="n">
        <x:v>0</x:v>
      </x:c>
      <x:c r="N205" s="86"/>
      <x:c r="O205" s="84"/>
      <x:c r="P205" s="86"/>
      <x:c r="Q205" s="80" t="str">
        <x:v>https://leetcode.com/problems/meeting-rooms-ii/</x:v>
      </x:c>
      <x:c r="R205" s="80" t="str"/>
      <x:c r="S205" s="84" t="n">
        <x:f>IF(AND(OR(H205="Solved",H205="Revised"),G205="New (counts toward 400)"),1,0)</x:f>
        <x:v>0</x:v>
      </x:c>
    </x:row>
    <x:row r="206" ht="48" customHeight="1">
      <x:c r="A206" s="84" t="n">
        <x:v>203</x:v>
      </x:c>
      <x:c r="B206" s="84" t="n">
        <x:v>218</x:v>
      </x:c>
      <x:c r="C206" s="80" t="str">
        <x:v>The Skyline Problem</x:v>
      </x:c>
      <x:c r="D206" s="84" t="str">
        <x:v>Hard</x:v>
      </x:c>
      <x:c r="E206" s="84" t="str">
        <x:v>Heap / Sweep Line</x:v>
      </x:c>
      <x:c r="F206" s="84" t="str">
        <x:v>P3</x:v>
      </x:c>
      <x:c r="G206" s="84" t="str">
        <x:v>New (counts toward 400)</x:v>
      </x:c>
      <x:c r="H206" s="84" t="str">
        <x:v>Not Started</x:v>
      </x:c>
      <x:c r="I206" s="80" t="str">
        <x:v>Repeatedly sort remaining candidates or rescan prior elements for each answer.</x:v>
      </x:c>
      <x:c r="J206" s="80" t="str">
        <x:v>Use a heap for dynamic min/max or top-k; use a monotonic stack/deque for next-greater/smaller or sliding extrema.</x:v>
      </x:c>
      <x:c r="K206" s="80" t="str">
        <x:v>O(n log k) or O(n)</x:v>
      </x:c>
      <x:c r="L206" s="80" t="str">
        <x:v>O(n) typical</x:v>
      </x:c>
      <x:c r="M206" s="84" t="n">
        <x:v>0</x:v>
      </x:c>
      <x:c r="N206" s="86"/>
      <x:c r="O206" s="84"/>
      <x:c r="P206" s="86"/>
      <x:c r="Q206" s="80" t="str">
        <x:v>https://leetcode.com/problems/the-skyline-problem/</x:v>
      </x:c>
      <x:c r="R206" s="80" t="str"/>
      <x:c r="S206" s="84" t="n">
        <x:f>IF(AND(OR(H206="Solved",H206="Revised"),G206="New (counts toward 400)"),1,0)</x:f>
        <x:v>0</x:v>
      </x:c>
    </x:row>
    <x:row r="207" ht="48" customHeight="1">
      <x:c r="A207" s="84" t="n">
        <x:v>204</x:v>
      </x:c>
      <x:c r="B207" s="84" t="n">
        <x:v>480</x:v>
      </x:c>
      <x:c r="C207" s="80" t="str">
        <x:v>Sliding Window Median</x:v>
      </x:c>
      <x:c r="D207" s="84" t="str">
        <x:v>Hard</x:v>
      </x:c>
      <x:c r="E207" s="84" t="str">
        <x:v>Two Heaps / Sliding Window</x:v>
      </x:c>
      <x:c r="F207" s="84" t="str">
        <x:v>P3</x:v>
      </x:c>
      <x:c r="G207" s="84" t="str">
        <x:v>New (counts toward 400)</x:v>
      </x:c>
      <x:c r="H207" s="84" t="str">
        <x:v>Not Started</x:v>
      </x:c>
      <x:c r="I207" s="80" t="str">
        <x:v>Enumerate contiguous windows and recompute validity/counts for each.</x:v>
      </x:c>
      <x:c r="J207" s="80" t="str">
        <x:v>Maintain a valid window with two pointers and incremental counts; each boundary moves only forward.</x:v>
      </x:c>
      <x:c r="K207" s="80" t="str">
        <x:v>O(n) typical</x:v>
      </x:c>
      <x:c r="L207" s="80" t="str">
        <x:v>O(alphabet or window state)</x:v>
      </x:c>
      <x:c r="M207" s="84" t="n">
        <x:v>0</x:v>
      </x:c>
      <x:c r="N207" s="86"/>
      <x:c r="O207" s="84"/>
      <x:c r="P207" s="86"/>
      <x:c r="Q207" s="80" t="str">
        <x:v>https://leetcode.com/problems/sliding-window-median/</x:v>
      </x:c>
      <x:c r="R207" s="80" t="str"/>
      <x:c r="S207" s="84" t="n">
        <x:f>IF(AND(OR(H207="Solved",H207="Revised"),G207="New (counts toward 400)"),1,0)</x:f>
        <x:v>0</x:v>
      </x:c>
    </x:row>
    <x:row r="208" ht="48" customHeight="1">
      <x:c r="A208" s="84" t="n">
        <x:v>205</x:v>
      </x:c>
      <x:c r="B208" s="84" t="n">
        <x:v>632</x:v>
      </x:c>
      <x:c r="C208" s="80" t="str">
        <x:v>Smallest Range Covering Elements from K Lists</x:v>
      </x:c>
      <x:c r="D208" s="84" t="str">
        <x:v>Hard</x:v>
      </x:c>
      <x:c r="E208" s="84" t="str">
        <x:v>Heap / Sliding Window</x:v>
      </x:c>
      <x:c r="F208" s="84" t="str">
        <x:v>P3</x:v>
      </x:c>
      <x:c r="G208" s="84" t="str">
        <x:v>New (counts toward 400)</x:v>
      </x:c>
      <x:c r="H208" s="84" t="str">
        <x:v>Not Started</x:v>
      </x:c>
      <x:c r="I208" s="80" t="str">
        <x:v>Enumerate contiguous windows and recompute validity/counts for each.</x:v>
      </x:c>
      <x:c r="J208" s="80" t="str">
        <x:v>Maintain a valid window with two pointers and incremental counts; each boundary moves only forward.</x:v>
      </x:c>
      <x:c r="K208" s="80" t="str">
        <x:v>O(n) typical</x:v>
      </x:c>
      <x:c r="L208" s="80" t="str">
        <x:v>O(alphabet or window state)</x:v>
      </x:c>
      <x:c r="M208" s="84" t="n">
        <x:v>0</x:v>
      </x:c>
      <x:c r="N208" s="86"/>
      <x:c r="O208" s="84"/>
      <x:c r="P208" s="86"/>
      <x:c r="Q208" s="80" t="str">
        <x:v>https://leetcode.com/problems/smallest-range-covering-elements-from-k-lists/</x:v>
      </x:c>
      <x:c r="R208" s="80" t="str"/>
      <x:c r="S208" s="84" t="n">
        <x:f>IF(AND(OR(H208="Solved",H208="Revised"),G208="New (counts toward 400)"),1,0)</x:f>
        <x:v>0</x:v>
      </x:c>
    </x:row>
    <x:row r="209" ht="48" customHeight="1">
      <x:c r="A209" s="84" t="n">
        <x:v>206</x:v>
      </x:c>
      <x:c r="B209" s="84" t="n">
        <x:v>857</x:v>
      </x:c>
      <x:c r="C209" s="80" t="str">
        <x:v>Minimum Cost to Hire K Workers</x:v>
      </x:c>
      <x:c r="D209" s="84" t="str">
        <x:v>Hard</x:v>
      </x:c>
      <x:c r="E209" s="84" t="str">
        <x:v>Heap / Greedy</x:v>
      </x:c>
      <x:c r="F209" s="84" t="str">
        <x:v>P3</x:v>
      </x:c>
      <x:c r="G209" s="84" t="str">
        <x:v>New (counts toward 400)</x:v>
      </x:c>
      <x:c r="H209" s="84" t="str">
        <x:v>Not Started</x:v>
      </x:c>
      <x:c r="I209" s="80" t="str">
        <x:v>Repeatedly sort remaining candidates or rescan prior elements for each answer.</x:v>
      </x:c>
      <x:c r="J209" s="80" t="str">
        <x:v>Use a heap for dynamic min/max or top-k; use a monotonic stack/deque for next-greater/smaller or sliding extrema.</x:v>
      </x:c>
      <x:c r="K209" s="80" t="str">
        <x:v>O(n log k) or O(n)</x:v>
      </x:c>
      <x:c r="L209" s="80" t="str">
        <x:v>O(n) typical</x:v>
      </x:c>
      <x:c r="M209" s="84" t="n">
        <x:v>0</x:v>
      </x:c>
      <x:c r="N209" s="86"/>
      <x:c r="O209" s="84"/>
      <x:c r="P209" s="86"/>
      <x:c r="Q209" s="80" t="str">
        <x:v>https://leetcode.com/problems/minimum-cost-to-hire-k-workers/</x:v>
      </x:c>
      <x:c r="R209" s="80" t="str"/>
      <x:c r="S209" s="84" t="n">
        <x:f>IF(AND(OR(H209="Solved",H209="Revised"),G209="New (counts toward 400)"),1,0)</x:f>
        <x:v>0</x:v>
      </x:c>
    </x:row>
    <x:row r="210" ht="48" customHeight="1">
      <x:c r="A210" s="84" t="n">
        <x:v>207</x:v>
      </x:c>
      <x:c r="B210" s="84" t="n">
        <x:v>355</x:v>
      </x:c>
      <x:c r="C210" s="80" t="str">
        <x:v>Design Twitter</x:v>
      </x:c>
      <x:c r="D210" s="84" t="str">
        <x:v>Medium</x:v>
      </x:c>
      <x:c r="E210" s="84" t="str">
        <x:v>Design / Heap</x:v>
      </x:c>
      <x:c r="F210" s="84" t="str">
        <x:v>P2</x:v>
      </x:c>
      <x:c r="G210" s="84" t="str">
        <x:v>New (counts toward 400)</x:v>
      </x:c>
      <x:c r="H210" s="84" t="str">
        <x:v>Not Started</x:v>
      </x:c>
      <x:c r="I210" s="80" t="str">
        <x:v>Repeatedly sort remaining candidates or rescan prior elements for each answer.</x:v>
      </x:c>
      <x:c r="J210" s="80" t="str">
        <x:v>Use a heap for dynamic min/max or top-k; use a monotonic stack/deque for next-greater/smaller or sliding extrema.</x:v>
      </x:c>
      <x:c r="K210" s="80" t="str">
        <x:v>O(n log k) or O(n)</x:v>
      </x:c>
      <x:c r="L210" s="80" t="str">
        <x:v>O(n) typical</x:v>
      </x:c>
      <x:c r="M210" s="84" t="n">
        <x:v>0</x:v>
      </x:c>
      <x:c r="N210" s="86"/>
      <x:c r="O210" s="84"/>
      <x:c r="P210" s="86"/>
      <x:c r="Q210" s="80" t="str">
        <x:v>https://leetcode.com/problems/design-twitter/</x:v>
      </x:c>
      <x:c r="R210" s="80" t="str"/>
      <x:c r="S210" s="84" t="n">
        <x:f>IF(AND(OR(H210="Solved",H210="Revised"),G210="New (counts toward 400)"),1,0)</x:f>
        <x:v>0</x:v>
      </x:c>
    </x:row>
    <x:row r="211" ht="48" customHeight="1">
      <x:c r="A211" s="84" t="n">
        <x:v>208</x:v>
      </x:c>
      <x:c r="B211" s="84" t="n">
        <x:v>846</x:v>
      </x:c>
      <x:c r="C211" s="80" t="str">
        <x:v>Hand of Straights</x:v>
      </x:c>
      <x:c r="D211" s="84" t="str">
        <x:v>Medium</x:v>
      </x:c>
      <x:c r="E211" s="84" t="str">
        <x:v>Hashing / Greedy</x:v>
      </x:c>
      <x:c r="F211" s="84" t="str">
        <x:v>P2</x:v>
      </x:c>
      <x:c r="G211" s="84" t="str">
        <x:v>New (counts toward 400)</x:v>
      </x:c>
      <x:c r="H211" s="84" t="str">
        <x:v>Not Started</x:v>
      </x:c>
      <x:c r="I211" s="80" t="str">
        <x:v>Try multiple selection/order choices or compare each interval with every other interval.</x:v>
      </x:c>
      <x:c r="J211" s="80" t="str">
        <x:v>Sort by the key that exposes feasibility (often start/end), then prove the greedy choice with an invariant.</x:v>
      </x:c>
      <x:c r="K211" s="80" t="str">
        <x:v>O(n log n)</x:v>
      </x:c>
      <x:c r="L211" s="80" t="str">
        <x:v>O(n) output or O(1) extra</x:v>
      </x:c>
      <x:c r="M211" s="84" t="n">
        <x:v>0</x:v>
      </x:c>
      <x:c r="N211" s="86"/>
      <x:c r="O211" s="84"/>
      <x:c r="P211" s="86"/>
      <x:c r="Q211" s="80" t="str">
        <x:v>https://leetcode.com/problems/hand-of-straights/</x:v>
      </x:c>
      <x:c r="R211" s="80" t="str"/>
      <x:c r="S211" s="84" t="n">
        <x:f>IF(AND(OR(H211="Solved",H211="Revised"),G211="New (counts toward 400)"),1,0)</x:f>
        <x:v>0</x:v>
      </x:c>
    </x:row>
    <x:row r="212" ht="48" customHeight="1">
      <x:c r="A212" s="84" t="n">
        <x:v>209</x:v>
      </x:c>
      <x:c r="B212" s="84" t="n">
        <x:v>895</x:v>
      </x:c>
      <x:c r="C212" s="80" t="str">
        <x:v>Maximum Frequency Stack</x:v>
      </x:c>
      <x:c r="D212" s="84" t="str">
        <x:v>Hard</x:v>
      </x:c>
      <x:c r="E212" s="84" t="str">
        <x:v>Stack / Hashing</x:v>
      </x:c>
      <x:c r="F212" s="84" t="str">
        <x:v>P3</x:v>
      </x:c>
      <x:c r="G212" s="84" t="str">
        <x:v>New (counts toward 400)</x:v>
      </x:c>
      <x:c r="H212" s="84" t="str">
        <x:v>Not Started</x:v>
      </x:c>
      <x:c r="I212" s="80" t="str">
        <x:v>Repeatedly sort remaining candidates or rescan prior elements for each answer.</x:v>
      </x:c>
      <x:c r="J212" s="80" t="str">
        <x:v>Use a heap for dynamic min/max or top-k; use a monotonic stack/deque for next-greater/smaller or sliding extrema.</x:v>
      </x:c>
      <x:c r="K212" s="80" t="str">
        <x:v>O(n log k) or O(n)</x:v>
      </x:c>
      <x:c r="L212" s="80" t="str">
        <x:v>O(n) typical</x:v>
      </x:c>
      <x:c r="M212" s="84" t="n">
        <x:v>0</x:v>
      </x:c>
      <x:c r="N212" s="86"/>
      <x:c r="O212" s="84"/>
      <x:c r="P212" s="86"/>
      <x:c r="Q212" s="80" t="str">
        <x:v>https://leetcode.com/problems/maximum-frequency-stack/</x:v>
      </x:c>
      <x:c r="R212" s="80" t="str"/>
      <x:c r="S212" s="84" t="n">
        <x:f>IF(AND(OR(H212="Solved",H212="Revised"),G212="New (counts toward 400)"),1,0)</x:f>
        <x:v>0</x:v>
      </x:c>
    </x:row>
    <x:row r="213" ht="48" customHeight="1">
      <x:c r="A213" s="84" t="n">
        <x:v>210</x:v>
      </x:c>
      <x:c r="B213" s="84" t="n">
        <x:v>1636</x:v>
      </x:c>
      <x:c r="C213" s="80" t="str">
        <x:v>Sort Array by Increasing Frequency</x:v>
      </x:c>
      <x:c r="D213" s="84" t="str">
        <x:v>Easy</x:v>
      </x:c>
      <x:c r="E213" s="84" t="str">
        <x:v>Sorting / Hashing</x:v>
      </x:c>
      <x:c r="F213" s="84" t="str">
        <x:v>P3</x:v>
      </x:c>
      <x:c r="G213" s="84" t="str">
        <x:v>New (counts toward 400)</x:v>
      </x:c>
      <x:c r="H213" s="84" t="str">
        <x:v>Not Started</x:v>
      </x:c>
      <x:c r="I213" s="80" t="str">
        <x:v>Use a simple collection and linearly scan when an operation occurs.</x:v>
      </x:c>
      <x:c r="J213" s="80" t="str">
        <x:v>Select structures to match operations: hash map for lookup, doubly linked list for recency, heap for ordered extraction.</x:v>
      </x:c>
      <x:c r="K213" s="80" t="str">
        <x:v>O(1) average or O(log n) per operation</x:v>
      </x:c>
      <x:c r="L213" s="80" t="str">
        <x:v>O(n)</x:v>
      </x:c>
      <x:c r="M213" s="84" t="n">
        <x:v>0</x:v>
      </x:c>
      <x:c r="N213" s="86"/>
      <x:c r="O213" s="84"/>
      <x:c r="P213" s="86"/>
      <x:c r="Q213" s="80" t="str">
        <x:v>https://leetcode.com/problems/sort-array-by-increasing-frequency/</x:v>
      </x:c>
      <x:c r="R213" s="80" t="str"/>
      <x:c r="S213" s="84" t="n">
        <x:f>IF(AND(OR(H213="Solved",H213="Revised"),G213="New (counts toward 400)"),1,0)</x:f>
        <x:v>0</x:v>
      </x:c>
    </x:row>
    <x:row r="214" ht="48" customHeight="1">
      <x:c r="A214" s="84" t="n">
        <x:v>211</x:v>
      </x:c>
      <x:c r="B214" s="84" t="n">
        <x:v>1675</x:v>
      </x:c>
      <x:c r="C214" s="80" t="str">
        <x:v>Minimize Deviation in Array</x:v>
      </x:c>
      <x:c r="D214" s="84" t="str">
        <x:v>Hard</x:v>
      </x:c>
      <x:c r="E214" s="84" t="str">
        <x:v>Heap / Greedy</x:v>
      </x:c>
      <x:c r="F214" s="84" t="str">
        <x:v>P3</x:v>
      </x:c>
      <x:c r="G214" s="84" t="str">
        <x:v>New (counts toward 400)</x:v>
      </x:c>
      <x:c r="H214" s="84" t="str">
        <x:v>Not Started</x:v>
      </x:c>
      <x:c r="I214" s="80" t="str">
        <x:v>Repeatedly sort remaining candidates or rescan prior elements for each answer.</x:v>
      </x:c>
      <x:c r="J214" s="80" t="str">
        <x:v>Use a heap for dynamic min/max or top-k; use a monotonic stack/deque for next-greater/smaller or sliding extrema.</x:v>
      </x:c>
      <x:c r="K214" s="80" t="str">
        <x:v>O(n log k) or O(n)</x:v>
      </x:c>
      <x:c r="L214" s="80" t="str">
        <x:v>O(n) typical</x:v>
      </x:c>
      <x:c r="M214" s="84" t="n">
        <x:v>0</x:v>
      </x:c>
      <x:c r="N214" s="86"/>
      <x:c r="O214" s="84"/>
      <x:c r="P214" s="86"/>
      <x:c r="Q214" s="80" t="str">
        <x:v>https://leetcode.com/problems/minimize-deviation-in-array/</x:v>
      </x:c>
      <x:c r="R214" s="80" t="str"/>
      <x:c r="S214" s="84" t="n">
        <x:f>IF(AND(OR(H214="Solved",H214="Revised"),G214="New (counts toward 400)"),1,0)</x:f>
        <x:v>0</x:v>
      </x:c>
    </x:row>
    <x:row r="215" ht="48" customHeight="1">
      <x:c r="A215" s="84" t="n">
        <x:v>212</x:v>
      </x:c>
      <x:c r="B215" s="84" t="n">
        <x:v>1353</x:v>
      </x:c>
      <x:c r="C215" s="80" t="str">
        <x:v>Maximum Number of Events That Can Be Attended</x:v>
      </x:c>
      <x:c r="D215" s="84" t="str">
        <x:v>Medium</x:v>
      </x:c>
      <x:c r="E215" s="84" t="str">
        <x:v>Heap / Greedy</x:v>
      </x:c>
      <x:c r="F215" s="84" t="str">
        <x:v>P2</x:v>
      </x:c>
      <x:c r="G215" s="84" t="str">
        <x:v>New (counts toward 400)</x:v>
      </x:c>
      <x:c r="H215" s="84" t="str">
        <x:v>Not Started</x:v>
      </x:c>
      <x:c r="I215" s="80" t="str">
        <x:v>Repeatedly sort remaining candidates or rescan prior elements for each answer.</x:v>
      </x:c>
      <x:c r="J215" s="80" t="str">
        <x:v>Use a heap for dynamic min/max or top-k; use a monotonic stack/deque for next-greater/smaller or sliding extrema.</x:v>
      </x:c>
      <x:c r="K215" s="80" t="str">
        <x:v>O(n log k) or O(n)</x:v>
      </x:c>
      <x:c r="L215" s="80" t="str">
        <x:v>O(n) typical</x:v>
      </x:c>
      <x:c r="M215" s="84" t="n">
        <x:v>0</x:v>
      </x:c>
      <x:c r="N215" s="86"/>
      <x:c r="O215" s="84"/>
      <x:c r="P215" s="86"/>
      <x:c r="Q215" s="80" t="str">
        <x:v>https://leetcode.com/problems/maximum-number-of-events-that-can-be-attended/</x:v>
      </x:c>
      <x:c r="R215" s="80" t="str"/>
      <x:c r="S215" s="84" t="n">
        <x:f>IF(AND(OR(H215="Solved",H215="Revised"),G215="New (counts toward 400)"),1,0)</x:f>
        <x:v>0</x:v>
      </x:c>
    </x:row>
    <x:row r="216" ht="48" customHeight="1">
      <x:c r="A216" s="84" t="n">
        <x:v>213</x:v>
      </x:c>
      <x:c r="B216" s="84" t="n">
        <x:v>2402</x:v>
      </x:c>
      <x:c r="C216" s="80" t="str">
        <x:v>Meeting Rooms III</x:v>
      </x:c>
      <x:c r="D216" s="84" t="str">
        <x:v>Hard</x:v>
      </x:c>
      <x:c r="E216" s="84" t="str">
        <x:v>Heap / Simulation</x:v>
      </x:c>
      <x:c r="F216" s="84" t="str">
        <x:v>P2</x:v>
      </x:c>
      <x:c r="G216" s="84" t="str">
        <x:v>New (counts toward 400)</x:v>
      </x:c>
      <x:c r="H216" s="84" t="str">
        <x:v>Not Started</x:v>
      </x:c>
      <x:c r="I216" s="80" t="str">
        <x:v>Repeatedly sort remaining candidates or rescan prior elements for each answer.</x:v>
      </x:c>
      <x:c r="J216" s="80" t="str">
        <x:v>Use a heap for dynamic min/max or top-k; use a monotonic stack/deque for next-greater/smaller or sliding extrema.</x:v>
      </x:c>
      <x:c r="K216" s="80" t="str">
        <x:v>O(n log k) or O(n)</x:v>
      </x:c>
      <x:c r="L216" s="80" t="str">
        <x:v>O(n) typical</x:v>
      </x:c>
      <x:c r="M216" s="84" t="n">
        <x:v>0</x:v>
      </x:c>
      <x:c r="N216" s="86"/>
      <x:c r="O216" s="84"/>
      <x:c r="P216" s="86"/>
      <x:c r="Q216" s="80" t="str">
        <x:v>https://leetcode.com/problems/meeting-rooms-iii/</x:v>
      </x:c>
      <x:c r="R216" s="80" t="str"/>
      <x:c r="S216" s="84" t="n">
        <x:f>IF(AND(OR(H216="Solved",H216="Revised"),G216="New (counts toward 400)"),1,0)</x:f>
        <x:v>0</x:v>
      </x:c>
    </x:row>
    <x:row r="217" ht="48" customHeight="1">
      <x:c r="A217" s="84" t="n">
        <x:v>214</x:v>
      </x:c>
      <x:c r="B217" s="84" t="n">
        <x:v>56</x:v>
      </x:c>
      <x:c r="C217" s="80" t="str">
        <x:v>Merge Intervals</x:v>
      </x:c>
      <x:c r="D217" s="84" t="str">
        <x:v>Medium</x:v>
      </x:c>
      <x:c r="E217" s="84" t="str">
        <x:v>Intervals / Sorting</x:v>
      </x:c>
      <x:c r="F217" s="84" t="str">
        <x:v>P1</x:v>
      </x:c>
      <x:c r="G217" s="84" t="str">
        <x:v>New (counts toward 400)</x:v>
      </x:c>
      <x:c r="H217" s="84" t="str">
        <x:v>Not Started</x:v>
      </x:c>
      <x:c r="I217" s="80" t="str">
        <x:v>Compare every interval pair and repeatedly combine overlaps.</x:v>
      </x:c>
      <x:c r="J217" s="80" t="str">
        <x:v>Sort by start; merge into the last output interval when it overlaps.</x:v>
      </x:c>
      <x:c r="K217" s="80" t="str">
        <x:v>O(n log n)</x:v>
      </x:c>
      <x:c r="L217" s="80" t="str">
        <x:v>O(n) output</x:v>
      </x:c>
      <x:c r="M217" s="84" t="n">
        <x:v>0</x:v>
      </x:c>
      <x:c r="N217" s="86"/>
      <x:c r="O217" s="84"/>
      <x:c r="P217" s="86"/>
      <x:c r="Q217" s="80" t="str">
        <x:v>https://leetcode.com/problems/merge-intervals/</x:v>
      </x:c>
      <x:c r="R217" s="80" t="str"/>
      <x:c r="S217" s="84" t="n">
        <x:f>IF(AND(OR(H217="Solved",H217="Revised"),G217="New (counts toward 400)"),1,0)</x:f>
        <x:v>0</x:v>
      </x:c>
    </x:row>
    <x:row r="218" ht="48" customHeight="1">
      <x:c r="A218" s="84" t="n">
        <x:v>215</x:v>
      </x:c>
      <x:c r="B218" s="84" t="n">
        <x:v>57</x:v>
      </x:c>
      <x:c r="C218" s="80" t="str">
        <x:v>Insert Interval</x:v>
      </x:c>
      <x:c r="D218" s="84" t="str">
        <x:v>Medium</x:v>
      </x:c>
      <x:c r="E218" s="84" t="str">
        <x:v>Intervals / Sorting</x:v>
      </x:c>
      <x:c r="F218" s="84" t="str">
        <x:v>P1</x:v>
      </x:c>
      <x:c r="G218" s="84" t="str">
        <x:v>New (counts toward 400)</x:v>
      </x:c>
      <x:c r="H218" s="84" t="str">
        <x:v>Not Started</x:v>
      </x:c>
      <x:c r="I218" s="80" t="str">
        <x:v>Try multiple selection/order choices or compare each interval with every other interval.</x:v>
      </x:c>
      <x:c r="J218" s="80" t="str">
        <x:v>Sort by the key that exposes feasibility (often start/end), then prove the greedy choice with an invariant.</x:v>
      </x:c>
      <x:c r="K218" s="80" t="str">
        <x:v>O(n log n)</x:v>
      </x:c>
      <x:c r="L218" s="80" t="str">
        <x:v>O(n) output or O(1) extra</x:v>
      </x:c>
      <x:c r="M218" s="84" t="n">
        <x:v>0</x:v>
      </x:c>
      <x:c r="N218" s="86"/>
      <x:c r="O218" s="84"/>
      <x:c r="P218" s="86"/>
      <x:c r="Q218" s="80" t="str">
        <x:v>https://leetcode.com/problems/insert-interval/</x:v>
      </x:c>
      <x:c r="R218" s="80" t="str"/>
      <x:c r="S218" s="84" t="n">
        <x:f>IF(AND(OR(H218="Solved",H218="Revised"),G218="New (counts toward 400)"),1,0)</x:f>
        <x:v>0</x:v>
      </x:c>
    </x:row>
    <x:row r="219" ht="48" customHeight="1">
      <x:c r="A219" s="84" t="n">
        <x:v>216</x:v>
      </x:c>
      <x:c r="B219" s="84" t="n">
        <x:v>435</x:v>
      </x:c>
      <x:c r="C219" s="80" t="str">
        <x:v>Non-overlapping Intervals</x:v>
      </x:c>
      <x:c r="D219" s="84" t="str">
        <x:v>Medium</x:v>
      </x:c>
      <x:c r="E219" s="84" t="str">
        <x:v>Intervals / Greedy</x:v>
      </x:c>
      <x:c r="F219" s="84" t="str">
        <x:v>P1</x:v>
      </x:c>
      <x:c r="G219" s="84" t="str">
        <x:v>New (counts toward 400)</x:v>
      </x:c>
      <x:c r="H219" s="84" t="str">
        <x:v>Not Started</x:v>
      </x:c>
      <x:c r="I219" s="80" t="str">
        <x:v>Try multiple selection/order choices or compare each interval with every other interval.</x:v>
      </x:c>
      <x:c r="J219" s="80" t="str">
        <x:v>Sort by the key that exposes feasibility (often start/end), then prove the greedy choice with an invariant.</x:v>
      </x:c>
      <x:c r="K219" s="80" t="str">
        <x:v>O(n log n)</x:v>
      </x:c>
      <x:c r="L219" s="80" t="str">
        <x:v>O(n) output or O(1) extra</x:v>
      </x:c>
      <x:c r="M219" s="84" t="n">
        <x:v>0</x:v>
      </x:c>
      <x:c r="N219" s="86"/>
      <x:c r="O219" s="84"/>
      <x:c r="P219" s="86"/>
      <x:c r="Q219" s="80" t="str">
        <x:v>https://leetcode.com/problems/non-overlapping-intervals/</x:v>
      </x:c>
      <x:c r="R219" s="80" t="str"/>
      <x:c r="S219" s="84" t="n">
        <x:f>IF(AND(OR(H219="Solved",H219="Revised"),G219="New (counts toward 400)"),1,0)</x:f>
        <x:v>0</x:v>
      </x:c>
    </x:row>
    <x:row r="220" ht="48" customHeight="1">
      <x:c r="A220" s="84" t="n">
        <x:v>217</x:v>
      </x:c>
      <x:c r="B220" s="84" t="n">
        <x:v>452</x:v>
      </x:c>
      <x:c r="C220" s="80" t="str">
        <x:v>Minimum Number of Arrows to Burst Balloons</x:v>
      </x:c>
      <x:c r="D220" s="84" t="str">
        <x:v>Medium</x:v>
      </x:c>
      <x:c r="E220" s="84" t="str">
        <x:v>Intervals / Greedy</x:v>
      </x:c>
      <x:c r="F220" s="84" t="str">
        <x:v>P2</x:v>
      </x:c>
      <x:c r="G220" s="84" t="str">
        <x:v>New (counts toward 400)</x:v>
      </x:c>
      <x:c r="H220" s="84" t="str">
        <x:v>Not Started</x:v>
      </x:c>
      <x:c r="I220" s="80" t="str">
        <x:v>Try multiple selection/order choices or compare each interval with every other interval.</x:v>
      </x:c>
      <x:c r="J220" s="80" t="str">
        <x:v>Sort by the key that exposes feasibility (often start/end), then prove the greedy choice with an invariant.</x:v>
      </x:c>
      <x:c r="K220" s="80" t="str">
        <x:v>O(n log n)</x:v>
      </x:c>
      <x:c r="L220" s="80" t="str">
        <x:v>O(n) output or O(1) extra</x:v>
      </x:c>
      <x:c r="M220" s="84" t="n">
        <x:v>0</x:v>
      </x:c>
      <x:c r="N220" s="86"/>
      <x:c r="O220" s="84"/>
      <x:c r="P220" s="86"/>
      <x:c r="Q220" s="80" t="str">
        <x:v>https://leetcode.com/problems/minimum-number-of-arrows-to-burst-balloons/</x:v>
      </x:c>
      <x:c r="R220" s="80" t="str"/>
      <x:c r="S220" s="84" t="n">
        <x:f>IF(AND(OR(H220="Solved",H220="Revised"),G220="New (counts toward 400)"),1,0)</x:f>
        <x:v>0</x:v>
      </x:c>
    </x:row>
    <x:row r="221" ht="48" customHeight="1">
      <x:c r="A221" s="84" t="n">
        <x:v>218</x:v>
      </x:c>
      <x:c r="B221" s="84" t="n">
        <x:v>986</x:v>
      </x:c>
      <x:c r="C221" s="80" t="str">
        <x:v>Interval List Intersections</x:v>
      </x:c>
      <x:c r="D221" s="84" t="str">
        <x:v>Medium</x:v>
      </x:c>
      <x:c r="E221" s="84" t="str">
        <x:v>Intervals / Two Pointers</x:v>
      </x:c>
      <x:c r="F221" s="84" t="str">
        <x:v>P2</x:v>
      </x:c>
      <x:c r="G221" s="84" t="str">
        <x:v>New (counts toward 400)</x:v>
      </x:c>
      <x:c r="H221" s="84" t="str">
        <x:v>Not Started</x:v>
      </x:c>
      <x:c r="I221" s="80" t="str">
        <x:v>Enumerate candidate pairs/segments and compare their values.</x:v>
      </x:c>
      <x:c r="J221" s="80" t="str">
        <x:v>Use sorted order or a monotonic invariant to decide which pointer moves; skip duplicates when needed.</x:v>
      </x:c>
      <x:c r="K221" s="80" t="str">
        <x:v>O(n) to O(n log n)</x:v>
      </x:c>
      <x:c r="L221" s="80" t="str">
        <x:v>O(1) extra excluding output</x:v>
      </x:c>
      <x:c r="M221" s="84" t="n">
        <x:v>0</x:v>
      </x:c>
      <x:c r="N221" s="86"/>
      <x:c r="O221" s="84"/>
      <x:c r="P221" s="86"/>
      <x:c r="Q221" s="80" t="str">
        <x:v>https://leetcode.com/problems/interval-list-intersections/</x:v>
      </x:c>
      <x:c r="R221" s="80" t="str"/>
      <x:c r="S221" s="84" t="n">
        <x:f>IF(AND(OR(H221="Solved",H221="Revised"),G221="New (counts toward 400)"),1,0)</x:f>
        <x:v>0</x:v>
      </x:c>
    </x:row>
    <x:row r="222" ht="48" customHeight="1">
      <x:c r="A222" s="84" t="n">
        <x:v>219</x:v>
      </x:c>
      <x:c r="B222" s="84" t="n">
        <x:v>252</x:v>
      </x:c>
      <x:c r="C222" s="80" t="str">
        <x:v>Meeting Rooms</x:v>
      </x:c>
      <x:c r="D222" s="84" t="str">
        <x:v>Easy</x:v>
      </x:c>
      <x:c r="E222" s="84" t="str">
        <x:v>Intervals / Sorting</x:v>
      </x:c>
      <x:c r="F222" s="84" t="str">
        <x:v>P2</x:v>
      </x:c>
      <x:c r="G222" s="84" t="str">
        <x:v>New (counts toward 400)</x:v>
      </x:c>
      <x:c r="H222" s="84" t="str">
        <x:v>Not Started</x:v>
      </x:c>
      <x:c r="I222" s="80" t="str">
        <x:v>Try multiple selection/order choices or compare each interval with every other interval.</x:v>
      </x:c>
      <x:c r="J222" s="80" t="str">
        <x:v>Sort by the key that exposes feasibility (often start/end), then prove the greedy choice with an invariant.</x:v>
      </x:c>
      <x:c r="K222" s="80" t="str">
        <x:v>O(n log n)</x:v>
      </x:c>
      <x:c r="L222" s="80" t="str">
        <x:v>O(n) output or O(1) extra</x:v>
      </x:c>
      <x:c r="M222" s="84" t="n">
        <x:v>0</x:v>
      </x:c>
      <x:c r="N222" s="86"/>
      <x:c r="O222" s="84"/>
      <x:c r="P222" s="86"/>
      <x:c r="Q222" s="80" t="str">
        <x:v>https://leetcode.com/problems/meeting-rooms/</x:v>
      </x:c>
      <x:c r="R222" s="80" t="str"/>
      <x:c r="S222" s="84" t="n">
        <x:f>IF(AND(OR(H222="Solved",H222="Revised"),G222="New (counts toward 400)"),1,0)</x:f>
        <x:v>0</x:v>
      </x:c>
    </x:row>
    <x:row r="223" ht="48" customHeight="1">
      <x:c r="A223" s="84" t="n">
        <x:v>220</x:v>
      </x:c>
      <x:c r="B223" s="84" t="n">
        <x:v>759</x:v>
      </x:c>
      <x:c r="C223" s="80" t="str">
        <x:v>Employee Free Time</x:v>
      </x:c>
      <x:c r="D223" s="84" t="str">
        <x:v>Hard</x:v>
      </x:c>
      <x:c r="E223" s="84" t="str">
        <x:v>Intervals / Heap</x:v>
      </x:c>
      <x:c r="F223" s="84" t="str">
        <x:v>P3</x:v>
      </x:c>
      <x:c r="G223" s="84" t="str">
        <x:v>New (counts toward 400)</x:v>
      </x:c>
      <x:c r="H223" s="84" t="str">
        <x:v>Not Started</x:v>
      </x:c>
      <x:c r="I223" s="80" t="str">
        <x:v>Repeatedly sort remaining candidates or rescan prior elements for each answer.</x:v>
      </x:c>
      <x:c r="J223" s="80" t="str">
        <x:v>Use a heap for dynamic min/max or top-k; use a monotonic stack/deque for next-greater/smaller or sliding extrema.</x:v>
      </x:c>
      <x:c r="K223" s="80" t="str">
        <x:v>O(n log k) or O(n)</x:v>
      </x:c>
      <x:c r="L223" s="80" t="str">
        <x:v>O(n) typical</x:v>
      </x:c>
      <x:c r="M223" s="84" t="n">
        <x:v>0</x:v>
      </x:c>
      <x:c r="N223" s="86"/>
      <x:c r="O223" s="84"/>
      <x:c r="P223" s="86"/>
      <x:c r="Q223" s="80" t="str">
        <x:v>https://leetcode.com/problems/employee-free-time/</x:v>
      </x:c>
      <x:c r="R223" s="80" t="str"/>
      <x:c r="S223" s="84" t="n">
        <x:f>IF(AND(OR(H223="Solved",H223="Revised"),G223="New (counts toward 400)"),1,0)</x:f>
        <x:v>0</x:v>
      </x:c>
    </x:row>
    <x:row r="224" ht="48" customHeight="1">
      <x:c r="A224" s="84" t="n">
        <x:v>221</x:v>
      </x:c>
      <x:c r="B224" s="84" t="n">
        <x:v>1288</x:v>
      </x:c>
      <x:c r="C224" s="80" t="str">
        <x:v>Remove Covered Intervals</x:v>
      </x:c>
      <x:c r="D224" s="84" t="str">
        <x:v>Medium</x:v>
      </x:c>
      <x:c r="E224" s="84" t="str">
        <x:v>Intervals / Sorting</x:v>
      </x:c>
      <x:c r="F224" s="84" t="str">
        <x:v>P3</x:v>
      </x:c>
      <x:c r="G224" s="84" t="str">
        <x:v>New (counts toward 400)</x:v>
      </x:c>
      <x:c r="H224" s="84" t="str">
        <x:v>Not Started</x:v>
      </x:c>
      <x:c r="I224" s="80" t="str">
        <x:v>Try multiple selection/order choices or compare each interval with every other interval.</x:v>
      </x:c>
      <x:c r="J224" s="80" t="str">
        <x:v>Sort by the key that exposes feasibility (often start/end), then prove the greedy choice with an invariant.</x:v>
      </x:c>
      <x:c r="K224" s="80" t="str">
        <x:v>O(n log n)</x:v>
      </x:c>
      <x:c r="L224" s="80" t="str">
        <x:v>O(n) output or O(1) extra</x:v>
      </x:c>
      <x:c r="M224" s="84" t="n">
        <x:v>0</x:v>
      </x:c>
      <x:c r="N224" s="86"/>
      <x:c r="O224" s="84"/>
      <x:c r="P224" s="86"/>
      <x:c r="Q224" s="80" t="str">
        <x:v>https://leetcode.com/problems/remove-covered-intervals/</x:v>
      </x:c>
      <x:c r="R224" s="80" t="str"/>
      <x:c r="S224" s="84" t="n">
        <x:f>IF(AND(OR(H224="Solved",H224="Revised"),G224="New (counts toward 400)"),1,0)</x:f>
        <x:v>0</x:v>
      </x:c>
    </x:row>
    <x:row r="225" ht="48" customHeight="1">
      <x:c r="A225" s="84" t="n">
        <x:v>222</x:v>
      </x:c>
      <x:c r="B225" s="84" t="n">
        <x:v>1029</x:v>
      </x:c>
      <x:c r="C225" s="80" t="str">
        <x:v>Two City Scheduling</x:v>
      </x:c>
      <x:c r="D225" s="84" t="str">
        <x:v>Medium</x:v>
      </x:c>
      <x:c r="E225" s="84" t="str">
        <x:v>Greedy / Sorting</x:v>
      </x:c>
      <x:c r="F225" s="84" t="str">
        <x:v>P2</x:v>
      </x:c>
      <x:c r="G225" s="84" t="str">
        <x:v>New (counts toward 400)</x:v>
      </x:c>
      <x:c r="H225" s="84" t="str">
        <x:v>Not Started</x:v>
      </x:c>
      <x:c r="I225" s="80" t="str">
        <x:v>Try multiple selection/order choices or compare each interval with every other interval.</x:v>
      </x:c>
      <x:c r="J225" s="80" t="str">
        <x:v>Sort by the key that exposes feasibility (often start/end), then prove the greedy choice with an invariant.</x:v>
      </x:c>
      <x:c r="K225" s="80" t="str">
        <x:v>O(n log n)</x:v>
      </x:c>
      <x:c r="L225" s="80" t="str">
        <x:v>O(n) output or O(1) extra</x:v>
      </x:c>
      <x:c r="M225" s="84" t="n">
        <x:v>0</x:v>
      </x:c>
      <x:c r="N225" s="86"/>
      <x:c r="O225" s="84"/>
      <x:c r="P225" s="86"/>
      <x:c r="Q225" s="80" t="str">
        <x:v>https://leetcode.com/problems/two-city-scheduling/</x:v>
      </x:c>
      <x:c r="R225" s="80" t="str"/>
      <x:c r="S225" s="84" t="n">
        <x:f>IF(AND(OR(H225="Solved",H225="Revised"),G225="New (counts toward 400)"),1,0)</x:f>
        <x:v>0</x:v>
      </x:c>
    </x:row>
    <x:row r="226" ht="48" customHeight="1">
      <x:c r="A226" s="84" t="n">
        <x:v>223</x:v>
      </x:c>
      <x:c r="B226" s="84" t="n">
        <x:v>763</x:v>
      </x:c>
      <x:c r="C226" s="80" t="str">
        <x:v>Partition Labels</x:v>
      </x:c>
      <x:c r="D226" s="84" t="str">
        <x:v>Medium</x:v>
      </x:c>
      <x:c r="E226" s="84" t="str">
        <x:v>Greedy / Two Pointers</x:v>
      </x:c>
      <x:c r="F226" s="84" t="str">
        <x:v>P1</x:v>
      </x:c>
      <x:c r="G226" s="84" t="str">
        <x:v>New (counts toward 400)</x:v>
      </x:c>
      <x:c r="H226" s="84" t="str">
        <x:v>Not Started</x:v>
      </x:c>
      <x:c r="I226" s="80" t="str">
        <x:v>Enumerate candidate pairs/segments and compare their values.</x:v>
      </x:c>
      <x:c r="J226" s="80" t="str">
        <x:v>Use sorted order or a monotonic invariant to decide which pointer moves; skip duplicates when needed.</x:v>
      </x:c>
      <x:c r="K226" s="80" t="str">
        <x:v>O(n) to O(n log n)</x:v>
      </x:c>
      <x:c r="L226" s="80" t="str">
        <x:v>O(1) extra excluding output</x:v>
      </x:c>
      <x:c r="M226" s="84" t="n">
        <x:v>0</x:v>
      </x:c>
      <x:c r="N226" s="86"/>
      <x:c r="O226" s="84"/>
      <x:c r="P226" s="86"/>
      <x:c r="Q226" s="80" t="str">
        <x:v>https://leetcode.com/problems/partition-labels/</x:v>
      </x:c>
      <x:c r="R226" s="80" t="str"/>
      <x:c r="S226" s="84" t="n">
        <x:f>IF(AND(OR(H226="Solved",H226="Revised"),G226="New (counts toward 400)"),1,0)</x:f>
        <x:v>0</x:v>
      </x:c>
    </x:row>
    <x:row r="227" ht="48" customHeight="1">
      <x:c r="A227" s="84" t="n">
        <x:v>224</x:v>
      </x:c>
      <x:c r="B227" s="84" t="n">
        <x:v>455</x:v>
      </x:c>
      <x:c r="C227" s="80" t="str">
        <x:v>Assign Cookies</x:v>
      </x:c>
      <x:c r="D227" s="84" t="str">
        <x:v>Easy</x:v>
      </x:c>
      <x:c r="E227" s="84" t="str">
        <x:v>Greedy / Two Pointers</x:v>
      </x:c>
      <x:c r="F227" s="84" t="str">
        <x:v>P2</x:v>
      </x:c>
      <x:c r="G227" s="84" t="str">
        <x:v>New (counts toward 400)</x:v>
      </x:c>
      <x:c r="H227" s="84" t="str">
        <x:v>Not Started</x:v>
      </x:c>
      <x:c r="I227" s="80" t="str">
        <x:v>Enumerate candidate pairs/segments and compare their values.</x:v>
      </x:c>
      <x:c r="J227" s="80" t="str">
        <x:v>Use sorted order or a monotonic invariant to decide which pointer moves; skip duplicates when needed.</x:v>
      </x:c>
      <x:c r="K227" s="80" t="str">
        <x:v>O(n) to O(n log n)</x:v>
      </x:c>
      <x:c r="L227" s="80" t="str">
        <x:v>O(1) extra excluding output</x:v>
      </x:c>
      <x:c r="M227" s="84" t="n">
        <x:v>0</x:v>
      </x:c>
      <x:c r="N227" s="86"/>
      <x:c r="O227" s="84"/>
      <x:c r="P227" s="86"/>
      <x:c r="Q227" s="80" t="str">
        <x:v>https://leetcode.com/problems/assign-cookies/</x:v>
      </x:c>
      <x:c r="R227" s="80" t="str"/>
      <x:c r="S227" s="84" t="n">
        <x:f>IF(AND(OR(H227="Solved",H227="Revised"),G227="New (counts toward 400)"),1,0)</x:f>
        <x:v>0</x:v>
      </x:c>
    </x:row>
    <x:row r="228" ht="48" customHeight="1">
      <x:c r="A228" s="84" t="n">
        <x:v>225</x:v>
      </x:c>
      <x:c r="B228" s="84" t="n">
        <x:v>406</x:v>
      </x:c>
      <x:c r="C228" s="80" t="str">
        <x:v>Queue Reconstruction by Height</x:v>
      </x:c>
      <x:c r="D228" s="84" t="str">
        <x:v>Medium</x:v>
      </x:c>
      <x:c r="E228" s="84" t="str">
        <x:v>Greedy / Sorting</x:v>
      </x:c>
      <x:c r="F228" s="84" t="str">
        <x:v>P2</x:v>
      </x:c>
      <x:c r="G228" s="84" t="str">
        <x:v>New (counts toward 400)</x:v>
      </x:c>
      <x:c r="H228" s="84" t="str">
        <x:v>Not Started</x:v>
      </x:c>
      <x:c r="I228" s="80" t="str">
        <x:v>Try multiple selection/order choices or compare each interval with every other interval.</x:v>
      </x:c>
      <x:c r="J228" s="80" t="str">
        <x:v>Sort by the key that exposes feasibility (often start/end), then prove the greedy choice with an invariant.</x:v>
      </x:c>
      <x:c r="K228" s="80" t="str">
        <x:v>O(n log n)</x:v>
      </x:c>
      <x:c r="L228" s="80" t="str">
        <x:v>O(n) output or O(1) extra</x:v>
      </x:c>
      <x:c r="M228" s="84" t="n">
        <x:v>0</x:v>
      </x:c>
      <x:c r="N228" s="86"/>
      <x:c r="O228" s="84"/>
      <x:c r="P228" s="86"/>
      <x:c r="Q228" s="80" t="str">
        <x:v>https://leetcode.com/problems/queue-reconstruction-by-height/</x:v>
      </x:c>
      <x:c r="R228" s="80" t="str"/>
      <x:c r="S228" s="84" t="n">
        <x:f>IF(AND(OR(H228="Solved",H228="Revised"),G228="New (counts toward 400)"),1,0)</x:f>
        <x:v>0</x:v>
      </x:c>
    </x:row>
    <x:row r="229" ht="48" customHeight="1">
      <x:c r="A229" s="84" t="n">
        <x:v>226</x:v>
      </x:c>
      <x:c r="B229" s="84" t="n">
        <x:v>881</x:v>
      </x:c>
      <x:c r="C229" s="80" t="str">
        <x:v>Boats to Save People</x:v>
      </x:c>
      <x:c r="D229" s="84" t="str">
        <x:v>Medium</x:v>
      </x:c>
      <x:c r="E229" s="84" t="str">
        <x:v>Greedy / Two Pointers</x:v>
      </x:c>
      <x:c r="F229" s="84" t="str">
        <x:v>P1</x:v>
      </x:c>
      <x:c r="G229" s="84" t="str">
        <x:v>New (counts toward 400)</x:v>
      </x:c>
      <x:c r="H229" s="84" t="str">
        <x:v>Not Started</x:v>
      </x:c>
      <x:c r="I229" s="80" t="str">
        <x:v>Enumerate candidate pairs/segments and compare their values.</x:v>
      </x:c>
      <x:c r="J229" s="80" t="str">
        <x:v>Use sorted order or a monotonic invariant to decide which pointer moves; skip duplicates when needed.</x:v>
      </x:c>
      <x:c r="K229" s="80" t="str">
        <x:v>O(n) to O(n log n)</x:v>
      </x:c>
      <x:c r="L229" s="80" t="str">
        <x:v>O(1) extra excluding output</x:v>
      </x:c>
      <x:c r="M229" s="84" t="n">
        <x:v>0</x:v>
      </x:c>
      <x:c r="N229" s="86"/>
      <x:c r="O229" s="84"/>
      <x:c r="P229" s="86"/>
      <x:c r="Q229" s="80" t="str">
        <x:v>https://leetcode.com/problems/boats-to-save-people/</x:v>
      </x:c>
      <x:c r="R229" s="80" t="str"/>
      <x:c r="S229" s="84" t="n">
        <x:f>IF(AND(OR(H229="Solved",H229="Revised"),G229="New (counts toward 400)"),1,0)</x:f>
        <x:v>0</x:v>
      </x:c>
    </x:row>
    <x:row r="230" ht="48" customHeight="1">
      <x:c r="A230" s="84" t="n">
        <x:v>227</x:v>
      </x:c>
      <x:c r="B230" s="84" t="n">
        <x:v>649</x:v>
      </x:c>
      <x:c r="C230" s="80" t="str">
        <x:v>Dota2 Senate</x:v>
      </x:c>
      <x:c r="D230" s="84" t="str">
        <x:v>Medium</x:v>
      </x:c>
      <x:c r="E230" s="84" t="str">
        <x:v>Greedy / Queue</x:v>
      </x:c>
      <x:c r="F230" s="84" t="str">
        <x:v>P2</x:v>
      </x:c>
      <x:c r="G230" s="84" t="str">
        <x:v>New (counts toward 400)</x:v>
      </x:c>
      <x:c r="H230" s="84" t="str">
        <x:v>Not Started</x:v>
      </x:c>
      <x:c r="I230" s="80" t="str">
        <x:v>Repeatedly sort remaining candidates or rescan prior elements for each answer.</x:v>
      </x:c>
      <x:c r="J230" s="80" t="str">
        <x:v>Use a heap for dynamic min/max or top-k; use a monotonic stack/deque for next-greater/smaller or sliding extrema.</x:v>
      </x:c>
      <x:c r="K230" s="80" t="str">
        <x:v>O(n log k) or O(n)</x:v>
      </x:c>
      <x:c r="L230" s="80" t="str">
        <x:v>O(n) typical</x:v>
      </x:c>
      <x:c r="M230" s="84" t="n">
        <x:v>0</x:v>
      </x:c>
      <x:c r="N230" s="86"/>
      <x:c r="O230" s="84"/>
      <x:c r="P230" s="86"/>
      <x:c r="Q230" s="80" t="str">
        <x:v>https://leetcode.com/problems/dota2-senate/</x:v>
      </x:c>
      <x:c r="R230" s="80" t="str"/>
      <x:c r="S230" s="84" t="n">
        <x:f>IF(AND(OR(H230="Solved",H230="Revised"),G230="New (counts toward 400)"),1,0)</x:f>
        <x:v>0</x:v>
      </x:c>
    </x:row>
    <x:row r="231" ht="48" customHeight="1">
      <x:c r="A231" s="84" t="n">
        <x:v>228</x:v>
      </x:c>
      <x:c r="B231" s="84" t="n">
        <x:v>678</x:v>
      </x:c>
      <x:c r="C231" s="80" t="str">
        <x:v>Valid Parenthesis String</x:v>
      </x:c>
      <x:c r="D231" s="84" t="str">
        <x:v>Medium</x:v>
      </x:c>
      <x:c r="E231" s="84" t="str">
        <x:v>Greedy / Stack</x:v>
      </x:c>
      <x:c r="F231" s="84" t="str">
        <x:v>P2</x:v>
      </x:c>
      <x:c r="G231" s="84" t="str">
        <x:v>New (counts toward 400)</x:v>
      </x:c>
      <x:c r="H231" s="84" t="str">
        <x:v>Not Started</x:v>
      </x:c>
      <x:c r="I231" s="80" t="str">
        <x:v>Repeatedly sort remaining candidates or rescan prior elements for each answer.</x:v>
      </x:c>
      <x:c r="J231" s="80" t="str">
        <x:v>Use a heap for dynamic min/max or top-k; use a monotonic stack/deque for next-greater/smaller or sliding extrema.</x:v>
      </x:c>
      <x:c r="K231" s="80" t="str">
        <x:v>O(n log k) or O(n)</x:v>
      </x:c>
      <x:c r="L231" s="80" t="str">
        <x:v>O(n) typical</x:v>
      </x:c>
      <x:c r="M231" s="84" t="n">
        <x:v>0</x:v>
      </x:c>
      <x:c r="N231" s="86"/>
      <x:c r="O231" s="84"/>
      <x:c r="P231" s="86"/>
      <x:c r="Q231" s="80" t="str">
        <x:v>https://leetcode.com/problems/valid-parenthesis-string/</x:v>
      </x:c>
      <x:c r="R231" s="80" t="str"/>
      <x:c r="S231" s="84" t="n">
        <x:f>IF(AND(OR(H231="Solved",H231="Revised"),G231="New (counts toward 400)"),1,0)</x:f>
        <x:v>0</x:v>
      </x:c>
    </x:row>
    <x:row r="232" ht="48" customHeight="1">
      <x:c r="A232" s="84" t="n">
        <x:v>229</x:v>
      </x:c>
      <x:c r="B232" s="84" t="n">
        <x:v>948</x:v>
      </x:c>
      <x:c r="C232" s="80" t="str">
        <x:v>Bag of Tokens</x:v>
      </x:c>
      <x:c r="D232" s="84" t="str">
        <x:v>Medium</x:v>
      </x:c>
      <x:c r="E232" s="84" t="str">
        <x:v>Greedy / Two Pointers</x:v>
      </x:c>
      <x:c r="F232" s="84" t="str">
        <x:v>P3</x:v>
      </x:c>
      <x:c r="G232" s="84" t="str">
        <x:v>New (counts toward 400)</x:v>
      </x:c>
      <x:c r="H232" s="84" t="str">
        <x:v>Not Started</x:v>
      </x:c>
      <x:c r="I232" s="80" t="str">
        <x:v>Enumerate candidate pairs/segments and compare their values.</x:v>
      </x:c>
      <x:c r="J232" s="80" t="str">
        <x:v>Use sorted order or a monotonic invariant to decide which pointer moves; skip duplicates when needed.</x:v>
      </x:c>
      <x:c r="K232" s="80" t="str">
        <x:v>O(n) to O(n log n)</x:v>
      </x:c>
      <x:c r="L232" s="80" t="str">
        <x:v>O(1) extra excluding output</x:v>
      </x:c>
      <x:c r="M232" s="84" t="n">
        <x:v>0</x:v>
      </x:c>
      <x:c r="N232" s="86"/>
      <x:c r="O232" s="84"/>
      <x:c r="P232" s="86"/>
      <x:c r="Q232" s="80" t="str">
        <x:v>https://leetcode.com/problems/bag-of-tokens/</x:v>
      </x:c>
      <x:c r="R232" s="80" t="str"/>
      <x:c r="S232" s="84" t="n">
        <x:f>IF(AND(OR(H232="Solved",H232="Revised"),G232="New (counts toward 400)"),1,0)</x:f>
        <x:v>0</x:v>
      </x:c>
    </x:row>
    <x:row r="233" ht="48" customHeight="1">
      <x:c r="A233" s="84" t="n">
        <x:v>230</x:v>
      </x:c>
      <x:c r="B233" s="84" t="n">
        <x:v>1405</x:v>
      </x:c>
      <x:c r="C233" s="80" t="str">
        <x:v>Longest Happy String</x:v>
      </x:c>
      <x:c r="D233" s="84" t="str">
        <x:v>Medium</x:v>
      </x:c>
      <x:c r="E233" s="84" t="str">
        <x:v>Greedy / Heap</x:v>
      </x:c>
      <x:c r="F233" s="84" t="str">
        <x:v>P2</x:v>
      </x:c>
      <x:c r="G233" s="84" t="str">
        <x:v>New (counts toward 400)</x:v>
      </x:c>
      <x:c r="H233" s="84" t="str">
        <x:v>Not Started</x:v>
      </x:c>
      <x:c r="I233" s="80" t="str">
        <x:v>Repeatedly sort remaining candidates or rescan prior elements for each answer.</x:v>
      </x:c>
      <x:c r="J233" s="80" t="str">
        <x:v>Use a heap for dynamic min/max or top-k; use a monotonic stack/deque for next-greater/smaller or sliding extrema.</x:v>
      </x:c>
      <x:c r="K233" s="80" t="str">
        <x:v>O(n log k) or O(n)</x:v>
      </x:c>
      <x:c r="L233" s="80" t="str">
        <x:v>O(n) typical</x:v>
      </x:c>
      <x:c r="M233" s="84" t="n">
        <x:v>0</x:v>
      </x:c>
      <x:c r="N233" s="86"/>
      <x:c r="O233" s="84"/>
      <x:c r="P233" s="86"/>
      <x:c r="Q233" s="80" t="str">
        <x:v>https://leetcode.com/problems/longest-happy-string/</x:v>
      </x:c>
      <x:c r="R233" s="80" t="str"/>
      <x:c r="S233" s="84" t="n">
        <x:f>IF(AND(OR(H233="Solved",H233="Revised"),G233="New (counts toward 400)"),1,0)</x:f>
        <x:v>0</x:v>
      </x:c>
    </x:row>
    <x:row r="234" ht="48" customHeight="1">
      <x:c r="A234" s="84" t="n">
        <x:v>231</x:v>
      </x:c>
      <x:c r="B234" s="84" t="n">
        <x:v>738</x:v>
      </x:c>
      <x:c r="C234" s="80" t="str">
        <x:v>Monotone Increasing Digits</x:v>
      </x:c>
      <x:c r="D234" s="84" t="str">
        <x:v>Medium</x:v>
      </x:c>
      <x:c r="E234" s="84" t="str">
        <x:v>Greedy / Math</x:v>
      </x:c>
      <x:c r="F234" s="84" t="str">
        <x:v>P3</x:v>
      </x:c>
      <x:c r="G234" s="84" t="str">
        <x:v>New (counts toward 400)</x:v>
      </x:c>
      <x:c r="H234" s="84" t="str">
        <x:v>Not Started</x:v>
      </x:c>
      <x:c r="I234" s="80" t="str">
        <x:v>Try multiple selection/order choices or compare each interval with every other interval.</x:v>
      </x:c>
      <x:c r="J234" s="80" t="str">
        <x:v>Sort by the key that exposes feasibility (often start/end), then prove the greedy choice with an invariant.</x:v>
      </x:c>
      <x:c r="K234" s="80" t="str">
        <x:v>O(n log n)</x:v>
      </x:c>
      <x:c r="L234" s="80" t="str">
        <x:v>O(n) output or O(1) extra</x:v>
      </x:c>
      <x:c r="M234" s="84" t="n">
        <x:v>0</x:v>
      </x:c>
      <x:c r="N234" s="86"/>
      <x:c r="O234" s="84"/>
      <x:c r="P234" s="86"/>
      <x:c r="Q234" s="80" t="str">
        <x:v>https://leetcode.com/problems/monotone-increasing-digits/</x:v>
      </x:c>
      <x:c r="R234" s="80" t="str"/>
      <x:c r="S234" s="84" t="n">
        <x:f>IF(AND(OR(H234="Solved",H234="Revised"),G234="New (counts toward 400)"),1,0)</x:f>
        <x:v>0</x:v>
      </x:c>
    </x:row>
    <x:row r="235" ht="48" customHeight="1">
      <x:c r="A235" s="84" t="n">
        <x:v>232</x:v>
      </x:c>
      <x:c r="B235" s="84" t="n">
        <x:v>991</x:v>
      </x:c>
      <x:c r="C235" s="80" t="str">
        <x:v>Broken Calculator</x:v>
      </x:c>
      <x:c r="D235" s="84" t="str">
        <x:v>Medium</x:v>
      </x:c>
      <x:c r="E235" s="84" t="str">
        <x:v>Greedy / Math</x:v>
      </x:c>
      <x:c r="F235" s="84" t="str">
        <x:v>P3</x:v>
      </x:c>
      <x:c r="G235" s="84" t="str">
        <x:v>New (counts toward 400)</x:v>
      </x:c>
      <x:c r="H235" s="84" t="str">
        <x:v>Not Started</x:v>
      </x:c>
      <x:c r="I235" s="80" t="str">
        <x:v>Try multiple selection/order choices or compare each interval with every other interval.</x:v>
      </x:c>
      <x:c r="J235" s="80" t="str">
        <x:v>Sort by the key that exposes feasibility (often start/end), then prove the greedy choice with an invariant.</x:v>
      </x:c>
      <x:c r="K235" s="80" t="str">
        <x:v>O(n log n)</x:v>
      </x:c>
      <x:c r="L235" s="80" t="str">
        <x:v>O(n) output or O(1) extra</x:v>
      </x:c>
      <x:c r="M235" s="84" t="n">
        <x:v>0</x:v>
      </x:c>
      <x:c r="N235" s="86"/>
      <x:c r="O235" s="84"/>
      <x:c r="P235" s="86"/>
      <x:c r="Q235" s="80" t="str">
        <x:v>https://leetcode.com/problems/broken-calculator/</x:v>
      </x:c>
      <x:c r="R235" s="80" t="str"/>
      <x:c r="S235" s="84" t="n">
        <x:f>IF(AND(OR(H235="Solved",H235="Revised"),G235="New (counts toward 400)"),1,0)</x:f>
        <x:v>0</x:v>
      </x:c>
    </x:row>
    <x:row r="236" ht="48" customHeight="1">
      <x:c r="A236" s="84" t="n">
        <x:v>233</x:v>
      </x:c>
      <x:c r="B236" s="84" t="n">
        <x:v>1710</x:v>
      </x:c>
      <x:c r="C236" s="80" t="str">
        <x:v>Maximum Units on a Truck</x:v>
      </x:c>
      <x:c r="D236" s="84" t="str">
        <x:v>Easy</x:v>
      </x:c>
      <x:c r="E236" s="84" t="str">
        <x:v>Greedy / Sorting</x:v>
      </x:c>
      <x:c r="F236" s="84" t="str">
        <x:v>P3</x:v>
      </x:c>
      <x:c r="G236" s="84" t="str">
        <x:v>New (counts toward 400)</x:v>
      </x:c>
      <x:c r="H236" s="84" t="str">
        <x:v>Not Started</x:v>
      </x:c>
      <x:c r="I236" s="80" t="str">
        <x:v>Try multiple selection/order choices or compare each interval with every other interval.</x:v>
      </x:c>
      <x:c r="J236" s="80" t="str">
        <x:v>Sort by the key that exposes feasibility (often start/end), then prove the greedy choice with an invariant.</x:v>
      </x:c>
      <x:c r="K236" s="80" t="str">
        <x:v>O(n log n)</x:v>
      </x:c>
      <x:c r="L236" s="80" t="str">
        <x:v>O(n) output or O(1) extra</x:v>
      </x:c>
      <x:c r="M236" s="84" t="n">
        <x:v>0</x:v>
      </x:c>
      <x:c r="N236" s="86"/>
      <x:c r="O236" s="84"/>
      <x:c r="P236" s="86"/>
      <x:c r="Q236" s="80" t="str">
        <x:v>https://leetcode.com/problems/maximum-units-on-a-truck/</x:v>
      </x:c>
      <x:c r="R236" s="80" t="str"/>
      <x:c r="S236" s="84" t="n">
        <x:f>IF(AND(OR(H236="Solved",H236="Revised"),G236="New (counts toward 400)"),1,0)</x:f>
        <x:v>0</x:v>
      </x:c>
    </x:row>
    <x:row r="237" ht="48" customHeight="1">
      <x:c r="A237" s="84" t="n">
        <x:v>234</x:v>
      </x:c>
      <x:c r="B237" s="84" t="n">
        <x:v>1647</x:v>
      </x:c>
      <x:c r="C237" s="80" t="str">
        <x:v>Minimum Deletions to Make Character Frequencies Unique</x:v>
      </x:c>
      <x:c r="D237" s="84" t="str">
        <x:v>Medium</x:v>
      </x:c>
      <x:c r="E237" s="84" t="str">
        <x:v>Greedy / Hashing</x:v>
      </x:c>
      <x:c r="F237" s="84" t="str">
        <x:v>P2</x:v>
      </x:c>
      <x:c r="G237" s="84" t="str">
        <x:v>New (counts toward 400)</x:v>
      </x:c>
      <x:c r="H237" s="84" t="str">
        <x:v>Not Started</x:v>
      </x:c>
      <x:c r="I237" s="80" t="str">
        <x:v>Try multiple selection/order choices or compare each interval with every other interval.</x:v>
      </x:c>
      <x:c r="J237" s="80" t="str">
        <x:v>Sort by the key that exposes feasibility (often start/end), then prove the greedy choice with an invariant.</x:v>
      </x:c>
      <x:c r="K237" s="80" t="str">
        <x:v>O(n log n)</x:v>
      </x:c>
      <x:c r="L237" s="80" t="str">
        <x:v>O(n) output or O(1) extra</x:v>
      </x:c>
      <x:c r="M237" s="84" t="n">
        <x:v>0</x:v>
      </x:c>
      <x:c r="N237" s="86"/>
      <x:c r="O237" s="84"/>
      <x:c r="P237" s="86"/>
      <x:c r="Q237" s="80" t="str">
        <x:v>https://leetcode.com/problems/minimum-deletions-to-make-character-frequencies-unique/</x:v>
      </x:c>
      <x:c r="R237" s="80" t="str"/>
      <x:c r="S237" s="84" t="n">
        <x:f>IF(AND(OR(H237="Solved",H237="Revised"),G237="New (counts toward 400)"),1,0)</x:f>
        <x:v>0</x:v>
      </x:c>
    </x:row>
    <x:row r="238" ht="48" customHeight="1">
      <x:c r="A238" s="84" t="n">
        <x:v>235</x:v>
      </x:c>
      <x:c r="B238" s="84" t="n">
        <x:v>1899</x:v>
      </x:c>
      <x:c r="C238" s="80" t="str">
        <x:v>Merge Triplets to Form Target Triplet</x:v>
      </x:c>
      <x:c r="D238" s="84" t="str">
        <x:v>Medium</x:v>
      </x:c>
      <x:c r="E238" s="84" t="str">
        <x:v>Greedy</x:v>
      </x:c>
      <x:c r="F238" s="84" t="str">
        <x:v>P2</x:v>
      </x:c>
      <x:c r="G238" s="84" t="str">
        <x:v>New (counts toward 400)</x:v>
      </x:c>
      <x:c r="H238" s="84" t="str">
        <x:v>Not Started</x:v>
      </x:c>
      <x:c r="I238" s="80" t="str">
        <x:v>Try multiple selection/order choices or compare each interval with every other interval.</x:v>
      </x:c>
      <x:c r="J238" s="80" t="str">
        <x:v>Sort by the key that exposes feasibility (often start/end), then prove the greedy choice with an invariant.</x:v>
      </x:c>
      <x:c r="K238" s="80" t="str">
        <x:v>O(n log n)</x:v>
      </x:c>
      <x:c r="L238" s="80" t="str">
        <x:v>O(n) output or O(1) extra</x:v>
      </x:c>
      <x:c r="M238" s="84" t="n">
        <x:v>0</x:v>
      </x:c>
      <x:c r="N238" s="86"/>
      <x:c r="O238" s="84"/>
      <x:c r="P238" s="86"/>
      <x:c r="Q238" s="80" t="str">
        <x:v>https://leetcode.com/problems/merge-triplets-to-form-target-triplet/</x:v>
      </x:c>
      <x:c r="R238" s="80" t="str"/>
      <x:c r="S238" s="84" t="n">
        <x:f>IF(AND(OR(H238="Solved",H238="Revised"),G238="New (counts toward 400)"),1,0)</x:f>
        <x:v>0</x:v>
      </x:c>
    </x:row>
    <x:row r="239" ht="48" customHeight="1">
      <x:c r="A239" s="84" t="n">
        <x:v>236</x:v>
      </x:c>
      <x:c r="B239" s="84" t="n">
        <x:v>78</x:v>
      </x:c>
      <x:c r="C239" s="80" t="str">
        <x:v>Subsets</x:v>
      </x:c>
      <x:c r="D239" s="84" t="str">
        <x:v>Medium</x:v>
      </x:c>
      <x:c r="E239" s="84" t="str">
        <x:v>Backtracking</x:v>
      </x:c>
      <x:c r="F239" s="84" t="str">
        <x:v>P1</x:v>
      </x:c>
      <x:c r="G239" s="84" t="str">
        <x:v>New (counts toward 400)</x:v>
      </x:c>
      <x:c r="H239" s="84" t="str">
        <x:v>Not Started</x:v>
      </x:c>
      <x:c r="I239" s="80" t="str">
        <x:v>Generate every choice sequence and validate completed candidates.</x:v>
      </x:c>
      <x:c r="J239" s="80" t="str">
        <x:v>Use choose→explore→unchoose, prune invalid partial states early, and skip duplicate choices at the same depth.</x:v>
      </x:c>
      <x:c r="K239" s="80" t="str">
        <x:v>Exponential / output-sensitive</x:v>
      </x:c>
      <x:c r="L239" s="80" t="str">
        <x:v>O(depth) plus output</x:v>
      </x:c>
      <x:c r="M239" s="84" t="n">
        <x:v>0</x:v>
      </x:c>
      <x:c r="N239" s="86"/>
      <x:c r="O239" s="84"/>
      <x:c r="P239" s="86"/>
      <x:c r="Q239" s="80" t="str">
        <x:v>https://leetcode.com/problems/subsets/</x:v>
      </x:c>
      <x:c r="R239" s="80" t="str"/>
      <x:c r="S239" s="84" t="n">
        <x:f>IF(AND(OR(H239="Solved",H239="Revised"),G239="New (counts toward 400)"),1,0)</x:f>
        <x:v>0</x:v>
      </x:c>
    </x:row>
    <x:row r="240" ht="48" customHeight="1">
      <x:c r="A240" s="84" t="n">
        <x:v>237</x:v>
      </x:c>
      <x:c r="B240" s="84" t="n">
        <x:v>90</x:v>
      </x:c>
      <x:c r="C240" s="80" t="str">
        <x:v>Subsets II</x:v>
      </x:c>
      <x:c r="D240" s="84" t="str">
        <x:v>Medium</x:v>
      </x:c>
      <x:c r="E240" s="84" t="str">
        <x:v>Backtracking / Deduplication</x:v>
      </x:c>
      <x:c r="F240" s="84" t="str">
        <x:v>P2</x:v>
      </x:c>
      <x:c r="G240" s="84" t="str">
        <x:v>New (counts toward 400)</x:v>
      </x:c>
      <x:c r="H240" s="84" t="str">
        <x:v>Not Started</x:v>
      </x:c>
      <x:c r="I240" s="80" t="str">
        <x:v>Generate every choice sequence and validate completed candidates.</x:v>
      </x:c>
      <x:c r="J240" s="80" t="str">
        <x:v>Use choose→explore→unchoose, prune invalid partial states early, and skip duplicate choices at the same depth.</x:v>
      </x:c>
      <x:c r="K240" s="80" t="str">
        <x:v>Exponential / output-sensitive</x:v>
      </x:c>
      <x:c r="L240" s="80" t="str">
        <x:v>O(depth) plus output</x:v>
      </x:c>
      <x:c r="M240" s="84" t="n">
        <x:v>0</x:v>
      </x:c>
      <x:c r="N240" s="86"/>
      <x:c r="O240" s="84"/>
      <x:c r="P240" s="86"/>
      <x:c r="Q240" s="80" t="str">
        <x:v>https://leetcode.com/problems/subsets-ii/</x:v>
      </x:c>
      <x:c r="R240" s="80" t="str"/>
      <x:c r="S240" s="84" t="n">
        <x:f>IF(AND(OR(H240="Solved",H240="Revised"),G240="New (counts toward 400)"),1,0)</x:f>
        <x:v>0</x:v>
      </x:c>
    </x:row>
    <x:row r="241" ht="48" customHeight="1">
      <x:c r="A241" s="84" t="n">
        <x:v>238</x:v>
      </x:c>
      <x:c r="B241" s="84" t="n">
        <x:v>46</x:v>
      </x:c>
      <x:c r="C241" s="80" t="str">
        <x:v>Permutations</x:v>
      </x:c>
      <x:c r="D241" s="84" t="str">
        <x:v>Medium</x:v>
      </x:c>
      <x:c r="E241" s="84" t="str">
        <x:v>Backtracking</x:v>
      </x:c>
      <x:c r="F241" s="84" t="str">
        <x:v>P1</x:v>
      </x:c>
      <x:c r="G241" s="84" t="str">
        <x:v>New (counts toward 400)</x:v>
      </x:c>
      <x:c r="H241" s="84" t="str">
        <x:v>Not Started</x:v>
      </x:c>
      <x:c r="I241" s="80" t="str">
        <x:v>Generate every choice sequence and validate completed candidates.</x:v>
      </x:c>
      <x:c r="J241" s="80" t="str">
        <x:v>Use choose→explore→unchoose, prune invalid partial states early, and skip duplicate choices at the same depth.</x:v>
      </x:c>
      <x:c r="K241" s="80" t="str">
        <x:v>Exponential / output-sensitive</x:v>
      </x:c>
      <x:c r="L241" s="80" t="str">
        <x:v>O(depth) plus output</x:v>
      </x:c>
      <x:c r="M241" s="84" t="n">
        <x:v>0</x:v>
      </x:c>
      <x:c r="N241" s="86"/>
      <x:c r="O241" s="84"/>
      <x:c r="P241" s="86"/>
      <x:c r="Q241" s="80" t="str">
        <x:v>https://leetcode.com/problems/permutations/</x:v>
      </x:c>
      <x:c r="R241" s="80" t="str"/>
      <x:c r="S241" s="84" t="n">
        <x:f>IF(AND(OR(H241="Solved",H241="Revised"),G241="New (counts toward 400)"),1,0)</x:f>
        <x:v>0</x:v>
      </x:c>
    </x:row>
    <x:row r="242" ht="48" customHeight="1">
      <x:c r="A242" s="84" t="n">
        <x:v>239</x:v>
      </x:c>
      <x:c r="B242" s="84" t="n">
        <x:v>47</x:v>
      </x:c>
      <x:c r="C242" s="80" t="str">
        <x:v>Permutations II</x:v>
      </x:c>
      <x:c r="D242" s="84" t="str">
        <x:v>Medium</x:v>
      </x:c>
      <x:c r="E242" s="84" t="str">
        <x:v>Backtracking / Deduplication</x:v>
      </x:c>
      <x:c r="F242" s="84" t="str">
        <x:v>P2</x:v>
      </x:c>
      <x:c r="G242" s="84" t="str">
        <x:v>New (counts toward 400)</x:v>
      </x:c>
      <x:c r="H242" s="84" t="str">
        <x:v>Not Started</x:v>
      </x:c>
      <x:c r="I242" s="80" t="str">
        <x:v>Generate every choice sequence and validate completed candidates.</x:v>
      </x:c>
      <x:c r="J242" s="80" t="str">
        <x:v>Use choose→explore→unchoose, prune invalid partial states early, and skip duplicate choices at the same depth.</x:v>
      </x:c>
      <x:c r="K242" s="80" t="str">
        <x:v>Exponential / output-sensitive</x:v>
      </x:c>
      <x:c r="L242" s="80" t="str">
        <x:v>O(depth) plus output</x:v>
      </x:c>
      <x:c r="M242" s="84" t="n">
        <x:v>0</x:v>
      </x:c>
      <x:c r="N242" s="86"/>
      <x:c r="O242" s="84"/>
      <x:c r="P242" s="86"/>
      <x:c r="Q242" s="80" t="str">
        <x:v>https://leetcode.com/problems/permutations-ii/</x:v>
      </x:c>
      <x:c r="R242" s="80" t="str"/>
      <x:c r="S242" s="84" t="n">
        <x:f>IF(AND(OR(H242="Solved",H242="Revised"),G242="New (counts toward 400)"),1,0)</x:f>
        <x:v>0</x:v>
      </x:c>
    </x:row>
    <x:row r="243" ht="48" customHeight="1">
      <x:c r="A243" s="84" t="n">
        <x:v>240</x:v>
      </x:c>
      <x:c r="B243" s="84" t="n">
        <x:v>39</x:v>
      </x:c>
      <x:c r="C243" s="80" t="str">
        <x:v>Combination Sum</x:v>
      </x:c>
      <x:c r="D243" s="84" t="str">
        <x:v>Medium</x:v>
      </x:c>
      <x:c r="E243" s="84" t="str">
        <x:v>Backtracking</x:v>
      </x:c>
      <x:c r="F243" s="84" t="str">
        <x:v>P1</x:v>
      </x:c>
      <x:c r="G243" s="84" t="str">
        <x:v>New (counts toward 400)</x:v>
      </x:c>
      <x:c r="H243" s="84" t="str">
        <x:v>Not Started</x:v>
      </x:c>
      <x:c r="I243" s="80" t="str">
        <x:v>Generate every choice sequence and validate completed candidates.</x:v>
      </x:c>
      <x:c r="J243" s="80" t="str">
        <x:v>Use choose→explore→unchoose, prune invalid partial states early, and skip duplicate choices at the same depth.</x:v>
      </x:c>
      <x:c r="K243" s="80" t="str">
        <x:v>Exponential / output-sensitive</x:v>
      </x:c>
      <x:c r="L243" s="80" t="str">
        <x:v>O(depth) plus output</x:v>
      </x:c>
      <x:c r="M243" s="84" t="n">
        <x:v>0</x:v>
      </x:c>
      <x:c r="N243" s="86"/>
      <x:c r="O243" s="84"/>
      <x:c r="P243" s="86"/>
      <x:c r="Q243" s="80" t="str">
        <x:v>https://leetcode.com/problems/combination-sum/</x:v>
      </x:c>
      <x:c r="R243" s="80" t="str"/>
      <x:c r="S243" s="84" t="n">
        <x:f>IF(AND(OR(H243="Solved",H243="Revised"),G243="New (counts toward 400)"),1,0)</x:f>
        <x:v>0</x:v>
      </x:c>
    </x:row>
    <x:row r="244" ht="48" customHeight="1">
      <x:c r="A244" s="84" t="n">
        <x:v>241</x:v>
      </x:c>
      <x:c r="B244" s="84" t="n">
        <x:v>40</x:v>
      </x:c>
      <x:c r="C244" s="80" t="str">
        <x:v>Combination Sum II</x:v>
      </x:c>
      <x:c r="D244" s="84" t="str">
        <x:v>Medium</x:v>
      </x:c>
      <x:c r="E244" s="84" t="str">
        <x:v>Backtracking / Deduplication</x:v>
      </x:c>
      <x:c r="F244" s="84" t="str">
        <x:v>P2</x:v>
      </x:c>
      <x:c r="G244" s="84" t="str">
        <x:v>New (counts toward 400)</x:v>
      </x:c>
      <x:c r="H244" s="84" t="str">
        <x:v>Not Started</x:v>
      </x:c>
      <x:c r="I244" s="80" t="str">
        <x:v>Generate every choice sequence and validate completed candidates.</x:v>
      </x:c>
      <x:c r="J244" s="80" t="str">
        <x:v>Use choose→explore→unchoose, prune invalid partial states early, and skip duplicate choices at the same depth.</x:v>
      </x:c>
      <x:c r="K244" s="80" t="str">
        <x:v>Exponential / output-sensitive</x:v>
      </x:c>
      <x:c r="L244" s="80" t="str">
        <x:v>O(depth) plus output</x:v>
      </x:c>
      <x:c r="M244" s="84" t="n">
        <x:v>0</x:v>
      </x:c>
      <x:c r="N244" s="86"/>
      <x:c r="O244" s="84"/>
      <x:c r="P244" s="86"/>
      <x:c r="Q244" s="80" t="str">
        <x:v>https://leetcode.com/problems/combination-sum-ii/</x:v>
      </x:c>
      <x:c r="R244" s="80" t="str"/>
      <x:c r="S244" s="84" t="n">
        <x:f>IF(AND(OR(H244="Solved",H244="Revised"),G244="New (counts toward 400)"),1,0)</x:f>
        <x:v>0</x:v>
      </x:c>
    </x:row>
    <x:row r="245" ht="48" customHeight="1">
      <x:c r="A245" s="84" t="n">
        <x:v>242</x:v>
      </x:c>
      <x:c r="B245" s="84" t="n">
        <x:v>77</x:v>
      </x:c>
      <x:c r="C245" s="80" t="str">
        <x:v>Combinations</x:v>
      </x:c>
      <x:c r="D245" s="84" t="str">
        <x:v>Medium</x:v>
      </x:c>
      <x:c r="E245" s="84" t="str">
        <x:v>Backtracking</x:v>
      </x:c>
      <x:c r="F245" s="84" t="str">
        <x:v>P2</x:v>
      </x:c>
      <x:c r="G245" s="84" t="str">
        <x:v>New (counts toward 400)</x:v>
      </x:c>
      <x:c r="H245" s="84" t="str">
        <x:v>Not Started</x:v>
      </x:c>
      <x:c r="I245" s="80" t="str">
        <x:v>Generate every choice sequence and validate completed candidates.</x:v>
      </x:c>
      <x:c r="J245" s="80" t="str">
        <x:v>Use choose→explore→unchoose, prune invalid partial states early, and skip duplicate choices at the same depth.</x:v>
      </x:c>
      <x:c r="K245" s="80" t="str">
        <x:v>Exponential / output-sensitive</x:v>
      </x:c>
      <x:c r="L245" s="80" t="str">
        <x:v>O(depth) plus output</x:v>
      </x:c>
      <x:c r="M245" s="84" t="n">
        <x:v>0</x:v>
      </x:c>
      <x:c r="N245" s="86"/>
      <x:c r="O245" s="84"/>
      <x:c r="P245" s="86"/>
      <x:c r="Q245" s="80" t="str">
        <x:v>https://leetcode.com/problems/combinations/</x:v>
      </x:c>
      <x:c r="R245" s="80" t="str"/>
      <x:c r="S245" s="84" t="n">
        <x:f>IF(AND(OR(H245="Solved",H245="Revised"),G245="New (counts toward 400)"),1,0)</x:f>
        <x:v>0</x:v>
      </x:c>
    </x:row>
    <x:row r="246" ht="48" customHeight="1">
      <x:c r="A246" s="84" t="n">
        <x:v>243</x:v>
      </x:c>
      <x:c r="B246" s="84" t="n">
        <x:v>216</x:v>
      </x:c>
      <x:c r="C246" s="80" t="str">
        <x:v>Combination Sum III</x:v>
      </x:c>
      <x:c r="D246" s="84" t="str">
        <x:v>Medium</x:v>
      </x:c>
      <x:c r="E246" s="84" t="str">
        <x:v>Backtracking</x:v>
      </x:c>
      <x:c r="F246" s="84" t="str">
        <x:v>P2</x:v>
      </x:c>
      <x:c r="G246" s="84" t="str">
        <x:v>New (counts toward 400)</x:v>
      </x:c>
      <x:c r="H246" s="84" t="str">
        <x:v>Not Started</x:v>
      </x:c>
      <x:c r="I246" s="80" t="str">
        <x:v>Generate every choice sequence and validate completed candidates.</x:v>
      </x:c>
      <x:c r="J246" s="80" t="str">
        <x:v>Use choose→explore→unchoose, prune invalid partial states early, and skip duplicate choices at the same depth.</x:v>
      </x:c>
      <x:c r="K246" s="80" t="str">
        <x:v>Exponential / output-sensitive</x:v>
      </x:c>
      <x:c r="L246" s="80" t="str">
        <x:v>O(depth) plus output</x:v>
      </x:c>
      <x:c r="M246" s="84" t="n">
        <x:v>0</x:v>
      </x:c>
      <x:c r="N246" s="86"/>
      <x:c r="O246" s="84"/>
      <x:c r="P246" s="86"/>
      <x:c r="Q246" s="80" t="str">
        <x:v>https://leetcode.com/problems/combination-sum-iii/</x:v>
      </x:c>
      <x:c r="R246" s="80" t="str"/>
      <x:c r="S246" s="84" t="n">
        <x:f>IF(AND(OR(H246="Solved",H246="Revised"),G246="New (counts toward 400)"),1,0)</x:f>
        <x:v>0</x:v>
      </x:c>
    </x:row>
    <x:row r="247" ht="48" customHeight="1">
      <x:c r="A247" s="84" t="n">
        <x:v>244</x:v>
      </x:c>
      <x:c r="B247" s="84" t="n">
        <x:v>17</x:v>
      </x:c>
      <x:c r="C247" s="80" t="str">
        <x:v>Letter Combinations of a Phone Number</x:v>
      </x:c>
      <x:c r="D247" s="84" t="str">
        <x:v>Medium</x:v>
      </x:c>
      <x:c r="E247" s="84" t="str">
        <x:v>Backtracking</x:v>
      </x:c>
      <x:c r="F247" s="84" t="str">
        <x:v>P1</x:v>
      </x:c>
      <x:c r="G247" s="84" t="str">
        <x:v>New (counts toward 400)</x:v>
      </x:c>
      <x:c r="H247" s="84" t="str">
        <x:v>Not Started</x:v>
      </x:c>
      <x:c r="I247" s="80" t="str">
        <x:v>Generate every choice sequence and validate completed candidates.</x:v>
      </x:c>
      <x:c r="J247" s="80" t="str">
        <x:v>Use choose→explore→unchoose, prune invalid partial states early, and skip duplicate choices at the same depth.</x:v>
      </x:c>
      <x:c r="K247" s="80" t="str">
        <x:v>Exponential / output-sensitive</x:v>
      </x:c>
      <x:c r="L247" s="80" t="str">
        <x:v>O(depth) plus output</x:v>
      </x:c>
      <x:c r="M247" s="84" t="n">
        <x:v>0</x:v>
      </x:c>
      <x:c r="N247" s="86"/>
      <x:c r="O247" s="84"/>
      <x:c r="P247" s="86"/>
      <x:c r="Q247" s="80" t="str">
        <x:v>https://leetcode.com/problems/letter-combinations-of-a-phone-number/</x:v>
      </x:c>
      <x:c r="R247" s="80" t="str"/>
      <x:c r="S247" s="84" t="n">
        <x:f>IF(AND(OR(H247="Solved",H247="Revised"),G247="New (counts toward 400)"),1,0)</x:f>
        <x:v>0</x:v>
      </x:c>
    </x:row>
    <x:row r="248" ht="48" customHeight="1">
      <x:c r="A248" s="84" t="n">
        <x:v>245</x:v>
      </x:c>
      <x:c r="B248" s="84" t="n">
        <x:v>79</x:v>
      </x:c>
      <x:c r="C248" s="80" t="str">
        <x:v>Word Search</x:v>
      </x:c>
      <x:c r="D248" s="84" t="str">
        <x:v>Medium</x:v>
      </x:c>
      <x:c r="E248" s="84" t="str">
        <x:v>Backtracking / Matrix DFS</x:v>
      </x:c>
      <x:c r="F248" s="84" t="str">
        <x:v>P1</x:v>
      </x:c>
      <x:c r="G248" s="84" t="str">
        <x:v>New (counts toward 400)</x:v>
      </x:c>
      <x:c r="H248" s="84" t="str">
        <x:v>Not Started</x:v>
      </x:c>
      <x:c r="I248" s="80" t="str">
        <x:v>Generate every choice sequence and validate completed candidates.</x:v>
      </x:c>
      <x:c r="J248" s="80" t="str">
        <x:v>Use choose→explore→unchoose, prune invalid partial states early, and skip duplicate choices at the same depth.</x:v>
      </x:c>
      <x:c r="K248" s="80" t="str">
        <x:v>Exponential / output-sensitive</x:v>
      </x:c>
      <x:c r="L248" s="80" t="str">
        <x:v>O(depth) plus output</x:v>
      </x:c>
      <x:c r="M248" s="84" t="n">
        <x:v>0</x:v>
      </x:c>
      <x:c r="N248" s="86"/>
      <x:c r="O248" s="84"/>
      <x:c r="P248" s="86"/>
      <x:c r="Q248" s="80" t="str">
        <x:v>https://leetcode.com/problems/word-search/</x:v>
      </x:c>
      <x:c r="R248" s="80" t="str"/>
      <x:c r="S248" s="84" t="n">
        <x:f>IF(AND(OR(H248="Solved",H248="Revised"),G248="New (counts toward 400)"),1,0)</x:f>
        <x:v>0</x:v>
      </x:c>
    </x:row>
    <x:row r="249" ht="48" customHeight="1">
      <x:c r="A249" s="84" t="n">
        <x:v>246</x:v>
      </x:c>
      <x:c r="B249" s="84" t="n">
        <x:v>212</x:v>
      </x:c>
      <x:c r="C249" s="80" t="str">
        <x:v>Word Search II</x:v>
      </x:c>
      <x:c r="D249" s="84" t="str">
        <x:v>Hard</x:v>
      </x:c>
      <x:c r="E249" s="84" t="str">
        <x:v>Trie / Backtracking</x:v>
      </x:c>
      <x:c r="F249" s="84" t="str">
        <x:v>P2</x:v>
      </x:c>
      <x:c r="G249" s="84" t="str">
        <x:v>New (counts toward 400)</x:v>
      </x:c>
      <x:c r="H249" s="84" t="str">
        <x:v>Not Started</x:v>
      </x:c>
      <x:c r="I249" s="80" t="str">
        <x:v>Generate every choice sequence and validate completed candidates.</x:v>
      </x:c>
      <x:c r="J249" s="80" t="str">
        <x:v>Use choose→explore→unchoose, prune invalid partial states early, and skip duplicate choices at the same depth.</x:v>
      </x:c>
      <x:c r="K249" s="80" t="str">
        <x:v>Exponential / output-sensitive</x:v>
      </x:c>
      <x:c r="L249" s="80" t="str">
        <x:v>O(depth) plus output</x:v>
      </x:c>
      <x:c r="M249" s="84" t="n">
        <x:v>0</x:v>
      </x:c>
      <x:c r="N249" s="86"/>
      <x:c r="O249" s="84"/>
      <x:c r="P249" s="86"/>
      <x:c r="Q249" s="80" t="str">
        <x:v>https://leetcode.com/problems/word-search-ii/</x:v>
      </x:c>
      <x:c r="R249" s="80" t="str"/>
      <x:c r="S249" s="84" t="n">
        <x:f>IF(AND(OR(H249="Solved",H249="Revised"),G249="New (counts toward 400)"),1,0)</x:f>
        <x:v>0</x:v>
      </x:c>
    </x:row>
    <x:row r="250" ht="48" customHeight="1">
      <x:c r="A250" s="84" t="n">
        <x:v>247</x:v>
      </x:c>
      <x:c r="B250" s="84" t="n">
        <x:v>51</x:v>
      </x:c>
      <x:c r="C250" s="80" t="str">
        <x:v>N-Queens</x:v>
      </x:c>
      <x:c r="D250" s="84" t="str">
        <x:v>Hard</x:v>
      </x:c>
      <x:c r="E250" s="84" t="str">
        <x:v>Backtracking</x:v>
      </x:c>
      <x:c r="F250" s="84" t="str">
        <x:v>P2</x:v>
      </x:c>
      <x:c r="G250" s="84" t="str">
        <x:v>New (counts toward 400)</x:v>
      </x:c>
      <x:c r="H250" s="84" t="str">
        <x:v>Not Started</x:v>
      </x:c>
      <x:c r="I250" s="80" t="str">
        <x:v>Generate every choice sequence and validate completed candidates.</x:v>
      </x:c>
      <x:c r="J250" s="80" t="str">
        <x:v>Use choose→explore→unchoose, prune invalid partial states early, and skip duplicate choices at the same depth.</x:v>
      </x:c>
      <x:c r="K250" s="80" t="str">
        <x:v>Exponential / output-sensitive</x:v>
      </x:c>
      <x:c r="L250" s="80" t="str">
        <x:v>O(depth) plus output</x:v>
      </x:c>
      <x:c r="M250" s="84" t="n">
        <x:v>0</x:v>
      </x:c>
      <x:c r="N250" s="86"/>
      <x:c r="O250" s="84"/>
      <x:c r="P250" s="86"/>
      <x:c r="Q250" s="80" t="str">
        <x:v>https://leetcode.com/problems/n-queens/</x:v>
      </x:c>
      <x:c r="R250" s="80" t="str"/>
      <x:c r="S250" s="84" t="n">
        <x:f>IF(AND(OR(H250="Solved",H250="Revised"),G250="New (counts toward 400)"),1,0)</x:f>
        <x:v>0</x:v>
      </x:c>
    </x:row>
    <x:row r="251" ht="48" customHeight="1">
      <x:c r="A251" s="84" t="n">
        <x:v>248</x:v>
      </x:c>
      <x:c r="B251" s="84" t="n">
        <x:v>52</x:v>
      </x:c>
      <x:c r="C251" s="80" t="str">
        <x:v>N-Queens II</x:v>
      </x:c>
      <x:c r="D251" s="84" t="str">
        <x:v>Hard</x:v>
      </x:c>
      <x:c r="E251" s="84" t="str">
        <x:v>Backtracking</x:v>
      </x:c>
      <x:c r="F251" s="84" t="str">
        <x:v>P3</x:v>
      </x:c>
      <x:c r="G251" s="84" t="str">
        <x:v>New (counts toward 400)</x:v>
      </x:c>
      <x:c r="H251" s="84" t="str">
        <x:v>Not Started</x:v>
      </x:c>
      <x:c r="I251" s="80" t="str">
        <x:v>Generate every choice sequence and validate completed candidates.</x:v>
      </x:c>
      <x:c r="J251" s="80" t="str">
        <x:v>Use choose→explore→unchoose, prune invalid partial states early, and skip duplicate choices at the same depth.</x:v>
      </x:c>
      <x:c r="K251" s="80" t="str">
        <x:v>Exponential / output-sensitive</x:v>
      </x:c>
      <x:c r="L251" s="80" t="str">
        <x:v>O(depth) plus output</x:v>
      </x:c>
      <x:c r="M251" s="84" t="n">
        <x:v>0</x:v>
      </x:c>
      <x:c r="N251" s="86"/>
      <x:c r="O251" s="84"/>
      <x:c r="P251" s="86"/>
      <x:c r="Q251" s="80" t="str">
        <x:v>https://leetcode.com/problems/n-queens-ii/</x:v>
      </x:c>
      <x:c r="R251" s="80" t="str"/>
      <x:c r="S251" s="84" t="n">
        <x:f>IF(AND(OR(H251="Solved",H251="Revised"),G251="New (counts toward 400)"),1,0)</x:f>
        <x:v>0</x:v>
      </x:c>
    </x:row>
    <x:row r="252" ht="48" customHeight="1">
      <x:c r="A252" s="84" t="n">
        <x:v>249</x:v>
      </x:c>
      <x:c r="B252" s="84" t="n">
        <x:v>37</x:v>
      </x:c>
      <x:c r="C252" s="80" t="str">
        <x:v>Sudoku Solver</x:v>
      </x:c>
      <x:c r="D252" s="84" t="str">
        <x:v>Hard</x:v>
      </x:c>
      <x:c r="E252" s="84" t="str">
        <x:v>Backtracking</x:v>
      </x:c>
      <x:c r="F252" s="84" t="str">
        <x:v>P2</x:v>
      </x:c>
      <x:c r="G252" s="84" t="str">
        <x:v>New (counts toward 400)</x:v>
      </x:c>
      <x:c r="H252" s="84" t="str">
        <x:v>Not Started</x:v>
      </x:c>
      <x:c r="I252" s="80" t="str">
        <x:v>Generate every choice sequence and validate completed candidates.</x:v>
      </x:c>
      <x:c r="J252" s="80" t="str">
        <x:v>Use choose→explore→unchoose, prune invalid partial states early, and skip duplicate choices at the same depth.</x:v>
      </x:c>
      <x:c r="K252" s="80" t="str">
        <x:v>Exponential / output-sensitive</x:v>
      </x:c>
      <x:c r="L252" s="80" t="str">
        <x:v>O(depth) plus output</x:v>
      </x:c>
      <x:c r="M252" s="84" t="n">
        <x:v>0</x:v>
      </x:c>
      <x:c r="N252" s="86"/>
      <x:c r="O252" s="84"/>
      <x:c r="P252" s="86"/>
      <x:c r="Q252" s="80" t="str">
        <x:v>https://leetcode.com/problems/sudoku-solver/</x:v>
      </x:c>
      <x:c r="R252" s="80" t="str"/>
      <x:c r="S252" s="84" t="n">
        <x:f>IF(AND(OR(H252="Solved",H252="Revised"),G252="New (counts toward 400)"),1,0)</x:f>
        <x:v>0</x:v>
      </x:c>
    </x:row>
    <x:row r="253" ht="48" customHeight="1">
      <x:c r="A253" s="84" t="n">
        <x:v>250</x:v>
      </x:c>
      <x:c r="B253" s="84" t="n">
        <x:v>93</x:v>
      </x:c>
      <x:c r="C253" s="80" t="str">
        <x:v>Restore IP Addresses</x:v>
      </x:c>
      <x:c r="D253" s="84" t="str">
        <x:v>Medium</x:v>
      </x:c>
      <x:c r="E253" s="84" t="str">
        <x:v>Backtracking</x:v>
      </x:c>
      <x:c r="F253" s="84" t="str">
        <x:v>P2</x:v>
      </x:c>
      <x:c r="G253" s="84" t="str">
        <x:v>New (counts toward 400)</x:v>
      </x:c>
      <x:c r="H253" s="84" t="str">
        <x:v>Not Started</x:v>
      </x:c>
      <x:c r="I253" s="80" t="str">
        <x:v>Generate every choice sequence and validate completed candidates.</x:v>
      </x:c>
      <x:c r="J253" s="80" t="str">
        <x:v>Use choose→explore→unchoose, prune invalid partial states early, and skip duplicate choices at the same depth.</x:v>
      </x:c>
      <x:c r="K253" s="80" t="str">
        <x:v>Exponential / output-sensitive</x:v>
      </x:c>
      <x:c r="L253" s="80" t="str">
        <x:v>O(depth) plus output</x:v>
      </x:c>
      <x:c r="M253" s="84" t="n">
        <x:v>0</x:v>
      </x:c>
      <x:c r="N253" s="86"/>
      <x:c r="O253" s="84"/>
      <x:c r="P253" s="86"/>
      <x:c r="Q253" s="80" t="str">
        <x:v>https://leetcode.com/problems/restore-ip-addresses/</x:v>
      </x:c>
      <x:c r="R253" s="80" t="str"/>
      <x:c r="S253" s="84" t="n">
        <x:f>IF(AND(OR(H253="Solved",H253="Revised"),G253="New (counts toward 400)"),1,0)</x:f>
        <x:v>0</x:v>
      </x:c>
    </x:row>
    <x:row r="254" ht="48" customHeight="1">
      <x:c r="A254" s="84" t="n">
        <x:v>251</x:v>
      </x:c>
      <x:c r="B254" s="84" t="n">
        <x:v>131</x:v>
      </x:c>
      <x:c r="C254" s="80" t="str">
        <x:v>Palindrome Partitioning</x:v>
      </x:c>
      <x:c r="D254" s="84" t="str">
        <x:v>Medium</x:v>
      </x:c>
      <x:c r="E254" s="84" t="str">
        <x:v>Backtracking / DP</x:v>
      </x:c>
      <x:c r="F254" s="84" t="str">
        <x:v>P2</x:v>
      </x:c>
      <x:c r="G254" s="84" t="str">
        <x:v>New (counts toward 400)</x:v>
      </x:c>
      <x:c r="H254" s="84" t="str">
        <x:v>Not Started</x:v>
      </x:c>
      <x:c r="I254" s="80" t="str">
        <x:v>Express choices recursively without memoization; repeated subproblems can make this exponential.</x:v>
      </x:c>
      <x:c r="J254" s="80" t="str">
        <x:v>Define state, base cases, and transition; memoize, then tabulate and compress dimensions if dependencies allow.</x:v>
      </x:c>
      <x:c r="K254" s="80" t="str">
        <x:v>O(states × transitions)</x:v>
      </x:c>
      <x:c r="L254" s="80" t="str">
        <x:v>O(number of states)</x:v>
      </x:c>
      <x:c r="M254" s="84" t="n">
        <x:v>0</x:v>
      </x:c>
      <x:c r="N254" s="86"/>
      <x:c r="O254" s="84"/>
      <x:c r="P254" s="86"/>
      <x:c r="Q254" s="80" t="str">
        <x:v>https://leetcode.com/problems/palindrome-partitioning/</x:v>
      </x:c>
      <x:c r="R254" s="80" t="str"/>
      <x:c r="S254" s="84" t="n">
        <x:f>IF(AND(OR(H254="Solved",H254="Revised"),G254="New (counts toward 400)"),1,0)</x:f>
        <x:v>0</x:v>
      </x:c>
    </x:row>
    <x:row r="255" ht="48" customHeight="1">
      <x:c r="A255" s="84" t="n">
        <x:v>252</x:v>
      </x:c>
      <x:c r="B255" s="84" t="n">
        <x:v>140</x:v>
      </x:c>
      <x:c r="C255" s="80" t="str">
        <x:v>Word Break II</x:v>
      </x:c>
      <x:c r="D255" s="84" t="str">
        <x:v>Hard</x:v>
      </x:c>
      <x:c r="E255" s="84" t="str">
        <x:v>Backtracking / DP</x:v>
      </x:c>
      <x:c r="F255" s="84" t="str">
        <x:v>P3</x:v>
      </x:c>
      <x:c r="G255" s="84" t="str">
        <x:v>New (counts toward 400)</x:v>
      </x:c>
      <x:c r="H255" s="84" t="str">
        <x:v>Not Started</x:v>
      </x:c>
      <x:c r="I255" s="80" t="str">
        <x:v>Express choices recursively without memoization; repeated subproblems can make this exponential.</x:v>
      </x:c>
      <x:c r="J255" s="80" t="str">
        <x:v>Define state, base cases, and transition; memoize, then tabulate and compress dimensions if dependencies allow.</x:v>
      </x:c>
      <x:c r="K255" s="80" t="str">
        <x:v>O(states × transitions)</x:v>
      </x:c>
      <x:c r="L255" s="80" t="str">
        <x:v>O(number of states)</x:v>
      </x:c>
      <x:c r="M255" s="84" t="n">
        <x:v>0</x:v>
      </x:c>
      <x:c r="N255" s="86"/>
      <x:c r="O255" s="84"/>
      <x:c r="P255" s="86"/>
      <x:c r="Q255" s="80" t="str">
        <x:v>https://leetcode.com/problems/word-break-ii/</x:v>
      </x:c>
      <x:c r="R255" s="80" t="str"/>
      <x:c r="S255" s="84" t="n">
        <x:f>IF(AND(OR(H255="Solved",H255="Revised"),G255="New (counts toward 400)"),1,0)</x:f>
        <x:v>0</x:v>
      </x:c>
    </x:row>
    <x:row r="256" ht="48" customHeight="1">
      <x:c r="A256" s="84" t="n">
        <x:v>253</x:v>
      </x:c>
      <x:c r="B256" s="84" t="n">
        <x:v>698</x:v>
      </x:c>
      <x:c r="C256" s="80" t="str">
        <x:v>Partition to K Equal Sum Subsets</x:v>
      </x:c>
      <x:c r="D256" s="84" t="str">
        <x:v>Medium</x:v>
      </x:c>
      <x:c r="E256" s="84" t="str">
        <x:v>Backtracking / Bitmask DP</x:v>
      </x:c>
      <x:c r="F256" s="84" t="str">
        <x:v>P2</x:v>
      </x:c>
      <x:c r="G256" s="84" t="str">
        <x:v>New (counts toward 400)</x:v>
      </x:c>
      <x:c r="H256" s="84" t="str">
        <x:v>Not Started</x:v>
      </x:c>
      <x:c r="I256" s="80" t="str">
        <x:v>Express choices recursively without memoization; repeated subproblems can make this exponential.</x:v>
      </x:c>
      <x:c r="J256" s="80" t="str">
        <x:v>Define state, base cases, and transition; memoize, then tabulate and compress dimensions if dependencies allow.</x:v>
      </x:c>
      <x:c r="K256" s="80" t="str">
        <x:v>O(states × transitions)</x:v>
      </x:c>
      <x:c r="L256" s="80" t="str">
        <x:v>O(number of states)</x:v>
      </x:c>
      <x:c r="M256" s="84" t="n">
        <x:v>0</x:v>
      </x:c>
      <x:c r="N256" s="86"/>
      <x:c r="O256" s="84"/>
      <x:c r="P256" s="86"/>
      <x:c r="Q256" s="80" t="str">
        <x:v>https://leetcode.com/problems/partition-to-k-equal-sum-subsets/</x:v>
      </x:c>
      <x:c r="R256" s="80" t="str"/>
      <x:c r="S256" s="84" t="n">
        <x:f>IF(AND(OR(H256="Solved",H256="Revised"),G256="New (counts toward 400)"),1,0)</x:f>
        <x:v>0</x:v>
      </x:c>
    </x:row>
    <x:row r="257" ht="48" customHeight="1">
      <x:c r="A257" s="84" t="n">
        <x:v>254</x:v>
      </x:c>
      <x:c r="B257" s="84" t="n">
        <x:v>473</x:v>
      </x:c>
      <x:c r="C257" s="80" t="str">
        <x:v>Matchsticks to Square</x:v>
      </x:c>
      <x:c r="D257" s="84" t="str">
        <x:v>Medium</x:v>
      </x:c>
      <x:c r="E257" s="84" t="str">
        <x:v>Backtracking</x:v>
      </x:c>
      <x:c r="F257" s="84" t="str">
        <x:v>P3</x:v>
      </x:c>
      <x:c r="G257" s="84" t="str">
        <x:v>New (counts toward 400)</x:v>
      </x:c>
      <x:c r="H257" s="84" t="str">
        <x:v>Not Started</x:v>
      </x:c>
      <x:c r="I257" s="80" t="str">
        <x:v>Generate every choice sequence and validate completed candidates.</x:v>
      </x:c>
      <x:c r="J257" s="80" t="str">
        <x:v>Use choose→explore→unchoose, prune invalid partial states early, and skip duplicate choices at the same depth.</x:v>
      </x:c>
      <x:c r="K257" s="80" t="str">
        <x:v>Exponential / output-sensitive</x:v>
      </x:c>
      <x:c r="L257" s="80" t="str">
        <x:v>O(depth) plus output</x:v>
      </x:c>
      <x:c r="M257" s="84" t="n">
        <x:v>0</x:v>
      </x:c>
      <x:c r="N257" s="86"/>
      <x:c r="O257" s="84"/>
      <x:c r="P257" s="86"/>
      <x:c r="Q257" s="80" t="str">
        <x:v>https://leetcode.com/problems/matchsticks-to-square/</x:v>
      </x:c>
      <x:c r="R257" s="80" t="str"/>
      <x:c r="S257" s="84" t="n">
        <x:f>IF(AND(OR(H257="Solved",H257="Revised"),G257="New (counts toward 400)"),1,0)</x:f>
        <x:v>0</x:v>
      </x:c>
    </x:row>
    <x:row r="258" ht="48" customHeight="1">
      <x:c r="A258" s="84" t="n">
        <x:v>255</x:v>
      </x:c>
      <x:c r="B258" s="84" t="n">
        <x:v>491</x:v>
      </x:c>
      <x:c r="C258" s="80" t="str">
        <x:v>Non-decreasing Subsequences</x:v>
      </x:c>
      <x:c r="D258" s="84" t="str">
        <x:v>Medium</x:v>
      </x:c>
      <x:c r="E258" s="84" t="str">
        <x:v>Backtracking</x:v>
      </x:c>
      <x:c r="F258" s="84" t="str">
        <x:v>P3</x:v>
      </x:c>
      <x:c r="G258" s="84" t="str">
        <x:v>New (counts toward 400)</x:v>
      </x:c>
      <x:c r="H258" s="84" t="str">
        <x:v>Not Started</x:v>
      </x:c>
      <x:c r="I258" s="80" t="str">
        <x:v>Generate every choice sequence and validate completed candidates.</x:v>
      </x:c>
      <x:c r="J258" s="80" t="str">
        <x:v>Use choose→explore→unchoose, prune invalid partial states early, and skip duplicate choices at the same depth.</x:v>
      </x:c>
      <x:c r="K258" s="80" t="str">
        <x:v>Exponential / output-sensitive</x:v>
      </x:c>
      <x:c r="L258" s="80" t="str">
        <x:v>O(depth) plus output</x:v>
      </x:c>
      <x:c r="M258" s="84" t="n">
        <x:v>0</x:v>
      </x:c>
      <x:c r="N258" s="86"/>
      <x:c r="O258" s="84"/>
      <x:c r="P258" s="86"/>
      <x:c r="Q258" s="80" t="str">
        <x:v>https://leetcode.com/problems/non-decreasing-subsequences/</x:v>
      </x:c>
      <x:c r="R258" s="80" t="str"/>
      <x:c r="S258" s="84" t="n">
        <x:f>IF(AND(OR(H258="Solved",H258="Revised"),G258="New (counts toward 400)"),1,0)</x:f>
        <x:v>0</x:v>
      </x:c>
    </x:row>
    <x:row r="259" ht="48" customHeight="1">
      <x:c r="A259" s="84" t="n">
        <x:v>256</x:v>
      </x:c>
      <x:c r="B259" s="84" t="n">
        <x:v>1239</x:v>
      </x:c>
      <x:c r="C259" s="80" t="str">
        <x:v>Maximum Length of a Concatenated String with Unique Characters</x:v>
      </x:c>
      <x:c r="D259" s="84" t="str">
        <x:v>Medium</x:v>
      </x:c>
      <x:c r="E259" s="84" t="str">
        <x:v>Backtracking / Bitmask</x:v>
      </x:c>
      <x:c r="F259" s="84" t="str">
        <x:v>P2</x:v>
      </x:c>
      <x:c r="G259" s="84" t="str">
        <x:v>New (counts toward 400)</x:v>
      </x:c>
      <x:c r="H259" s="84" t="str">
        <x:v>Not Started</x:v>
      </x:c>
      <x:c r="I259" s="80" t="str">
        <x:v>Generate every choice sequence and validate completed candidates.</x:v>
      </x:c>
      <x:c r="J259" s="80" t="str">
        <x:v>Use choose→explore→unchoose, prune invalid partial states early, and skip duplicate choices at the same depth.</x:v>
      </x:c>
      <x:c r="K259" s="80" t="str">
        <x:v>Exponential / output-sensitive</x:v>
      </x:c>
      <x:c r="L259" s="80" t="str">
        <x:v>O(depth) plus output</x:v>
      </x:c>
      <x:c r="M259" s="84" t="n">
        <x:v>0</x:v>
      </x:c>
      <x:c r="N259" s="86"/>
      <x:c r="O259" s="84"/>
      <x:c r="P259" s="86"/>
      <x:c r="Q259" s="80" t="str">
        <x:v>https://leetcode.com/problems/maximum-length-of-a-concatenated-string-with-unique-characters/</x:v>
      </x:c>
      <x:c r="R259" s="80" t="str"/>
      <x:c r="S259" s="84" t="n">
        <x:f>IF(AND(OR(H259="Solved",H259="Revised"),G259="New (counts toward 400)"),1,0)</x:f>
        <x:v>0</x:v>
      </x:c>
    </x:row>
    <x:row r="260" ht="48" customHeight="1">
      <x:c r="A260" s="84" t="n">
        <x:v>257</x:v>
      </x:c>
      <x:c r="B260" s="84" t="n">
        <x:v>526</x:v>
      </x:c>
      <x:c r="C260" s="80" t="str">
        <x:v>Beautiful Arrangement</x:v>
      </x:c>
      <x:c r="D260" s="84" t="str">
        <x:v>Medium</x:v>
      </x:c>
      <x:c r="E260" s="84" t="str">
        <x:v>Backtracking / Bitmask</x:v>
      </x:c>
      <x:c r="F260" s="84" t="str">
        <x:v>P3</x:v>
      </x:c>
      <x:c r="G260" s="84" t="str">
        <x:v>New (counts toward 400)</x:v>
      </x:c>
      <x:c r="H260" s="84" t="str">
        <x:v>Not Started</x:v>
      </x:c>
      <x:c r="I260" s="80" t="str">
        <x:v>Generate every choice sequence and validate completed candidates.</x:v>
      </x:c>
      <x:c r="J260" s="80" t="str">
        <x:v>Use choose→explore→unchoose, prune invalid partial states early, and skip duplicate choices at the same depth.</x:v>
      </x:c>
      <x:c r="K260" s="80" t="str">
        <x:v>Exponential / output-sensitive</x:v>
      </x:c>
      <x:c r="L260" s="80" t="str">
        <x:v>O(depth) plus output</x:v>
      </x:c>
      <x:c r="M260" s="84" t="n">
        <x:v>0</x:v>
      </x:c>
      <x:c r="N260" s="86"/>
      <x:c r="O260" s="84"/>
      <x:c r="P260" s="86"/>
      <x:c r="Q260" s="80" t="str">
        <x:v>https://leetcode.com/problems/beautiful-arrangement/</x:v>
      </x:c>
      <x:c r="R260" s="80" t="str"/>
      <x:c r="S260" s="84" t="n">
        <x:f>IF(AND(OR(H260="Solved",H260="Revised"),G260="New (counts toward 400)"),1,0)</x:f>
        <x:v>0</x:v>
      </x:c>
    </x:row>
    <x:row r="261" ht="48" customHeight="1">
      <x:c r="A261" s="84" t="n">
        <x:v>258</x:v>
      </x:c>
      <x:c r="B261" s="84" t="n">
        <x:v>1255</x:v>
      </x:c>
      <x:c r="C261" s="80" t="str">
        <x:v>Maximum Score Words Formed by Letters</x:v>
      </x:c>
      <x:c r="D261" s="84" t="str">
        <x:v>Hard</x:v>
      </x:c>
      <x:c r="E261" s="84" t="str">
        <x:v>Backtracking</x:v>
      </x:c>
      <x:c r="F261" s="84" t="str">
        <x:v>P3</x:v>
      </x:c>
      <x:c r="G261" s="84" t="str">
        <x:v>New (counts toward 400)</x:v>
      </x:c>
      <x:c r="H261" s="84" t="str">
        <x:v>Not Started</x:v>
      </x:c>
      <x:c r="I261" s="80" t="str">
        <x:v>Generate every choice sequence and validate completed candidates.</x:v>
      </x:c>
      <x:c r="J261" s="80" t="str">
        <x:v>Use choose→explore→unchoose, prune invalid partial states early, and skip duplicate choices at the same depth.</x:v>
      </x:c>
      <x:c r="K261" s="80" t="str">
        <x:v>Exponential / output-sensitive</x:v>
      </x:c>
      <x:c r="L261" s="80" t="str">
        <x:v>O(depth) plus output</x:v>
      </x:c>
      <x:c r="M261" s="84" t="n">
        <x:v>0</x:v>
      </x:c>
      <x:c r="N261" s="86"/>
      <x:c r="O261" s="84"/>
      <x:c r="P261" s="86"/>
      <x:c r="Q261" s="80" t="str">
        <x:v>https://leetcode.com/problems/maximum-score-words-formed-by-letters/</x:v>
      </x:c>
      <x:c r="R261" s="80" t="str"/>
      <x:c r="S261" s="84" t="n">
        <x:f>IF(AND(OR(H261="Solved",H261="Revised"),G261="New (counts toward 400)"),1,0)</x:f>
        <x:v>0</x:v>
      </x:c>
    </x:row>
    <x:row r="262" ht="48" customHeight="1">
      <x:c r="A262" s="84" t="n">
        <x:v>259</x:v>
      </x:c>
      <x:c r="B262" s="84" t="n">
        <x:v>842</x:v>
      </x:c>
      <x:c r="C262" s="80" t="str">
        <x:v>Split Array into Fibonacci Sequence</x:v>
      </x:c>
      <x:c r="D262" s="84" t="str">
        <x:v>Medium</x:v>
      </x:c>
      <x:c r="E262" s="84" t="str">
        <x:v>Backtracking / Parsing</x:v>
      </x:c>
      <x:c r="F262" s="84" t="str">
        <x:v>P3</x:v>
      </x:c>
      <x:c r="G262" s="84" t="str">
        <x:v>New (counts toward 400)</x:v>
      </x:c>
      <x:c r="H262" s="84" t="str">
        <x:v>Not Started</x:v>
      </x:c>
      <x:c r="I262" s="80" t="str">
        <x:v>Generate every choice sequence and validate completed candidates.</x:v>
      </x:c>
      <x:c r="J262" s="80" t="str">
        <x:v>Use choose→explore→unchoose, prune invalid partial states early, and skip duplicate choices at the same depth.</x:v>
      </x:c>
      <x:c r="K262" s="80" t="str">
        <x:v>Exponential / output-sensitive</x:v>
      </x:c>
      <x:c r="L262" s="80" t="str">
        <x:v>O(depth) plus output</x:v>
      </x:c>
      <x:c r="M262" s="84" t="n">
        <x:v>0</x:v>
      </x:c>
      <x:c r="N262" s="86"/>
      <x:c r="O262" s="84"/>
      <x:c r="P262" s="86"/>
      <x:c r="Q262" s="80" t="str">
        <x:v>https://leetcode.com/problems/split-array-into-fibonacci-sequence/</x:v>
      </x:c>
      <x:c r="R262" s="80" t="str"/>
      <x:c r="S262" s="84" t="n">
        <x:f>IF(AND(OR(H262="Solved",H262="Revised"),G262="New (counts toward 400)"),1,0)</x:f>
        <x:v>0</x:v>
      </x:c>
    </x:row>
    <x:row r="263" ht="48" customHeight="1">
      <x:c r="A263" s="84" t="n">
        <x:v>260</x:v>
      </x:c>
      <x:c r="B263" s="84" t="n">
        <x:v>282</x:v>
      </x:c>
      <x:c r="C263" s="80" t="str">
        <x:v>Expression Add Operators</x:v>
      </x:c>
      <x:c r="D263" s="84" t="str">
        <x:v>Hard</x:v>
      </x:c>
      <x:c r="E263" s="84" t="str">
        <x:v>Backtracking / Parsing</x:v>
      </x:c>
      <x:c r="F263" s="84" t="str">
        <x:v>P3</x:v>
      </x:c>
      <x:c r="G263" s="84" t="str">
        <x:v>New (counts toward 400)</x:v>
      </x:c>
      <x:c r="H263" s="84" t="str">
        <x:v>Not Started</x:v>
      </x:c>
      <x:c r="I263" s="80" t="str">
        <x:v>Generate every choice sequence and validate completed candidates.</x:v>
      </x:c>
      <x:c r="J263" s="80" t="str">
        <x:v>Use choose→explore→unchoose, prune invalid partial states early, and skip duplicate choices at the same depth.</x:v>
      </x:c>
      <x:c r="K263" s="80" t="str">
        <x:v>Exponential / output-sensitive</x:v>
      </x:c>
      <x:c r="L263" s="80" t="str">
        <x:v>O(depth) plus output</x:v>
      </x:c>
      <x:c r="M263" s="84" t="n">
        <x:v>0</x:v>
      </x:c>
      <x:c r="N263" s="86"/>
      <x:c r="O263" s="84"/>
      <x:c r="P263" s="86"/>
      <x:c r="Q263" s="80" t="str">
        <x:v>https://leetcode.com/problems/expression-add-operators/</x:v>
      </x:c>
      <x:c r="R263" s="80" t="str"/>
      <x:c r="S263" s="84" t="n">
        <x:f>IF(AND(OR(H263="Solved",H263="Revised"),G263="New (counts toward 400)"),1,0)</x:f>
        <x:v>0</x:v>
      </x:c>
    </x:row>
    <x:row r="264" ht="48" customHeight="1">
      <x:c r="A264" s="84" t="n">
        <x:v>261</x:v>
      </x:c>
      <x:c r="B264" s="84" t="n">
        <x:v>1079</x:v>
      </x:c>
      <x:c r="C264" s="80" t="str">
        <x:v>Letter Tile Possibilities</x:v>
      </x:c>
      <x:c r="D264" s="84" t="str">
        <x:v>Medium</x:v>
      </x:c>
      <x:c r="E264" s="84" t="str">
        <x:v>Backtracking / Counting</x:v>
      </x:c>
      <x:c r="F264" s="84" t="str">
        <x:v>P3</x:v>
      </x:c>
      <x:c r="G264" s="84" t="str">
        <x:v>New (counts toward 400)</x:v>
      </x:c>
      <x:c r="H264" s="84" t="str">
        <x:v>Not Started</x:v>
      </x:c>
      <x:c r="I264" s="80" t="str">
        <x:v>Generate every choice sequence and validate completed candidates.</x:v>
      </x:c>
      <x:c r="J264" s="80" t="str">
        <x:v>Use choose→explore→unchoose, prune invalid partial states early, and skip duplicate choices at the same depth.</x:v>
      </x:c>
      <x:c r="K264" s="80" t="str">
        <x:v>Exponential / output-sensitive</x:v>
      </x:c>
      <x:c r="L264" s="80" t="str">
        <x:v>O(depth) plus output</x:v>
      </x:c>
      <x:c r="M264" s="84" t="n">
        <x:v>0</x:v>
      </x:c>
      <x:c r="N264" s="86"/>
      <x:c r="O264" s="84"/>
      <x:c r="P264" s="86"/>
      <x:c r="Q264" s="80" t="str">
        <x:v>https://leetcode.com/problems/letter-tile-possibilities/</x:v>
      </x:c>
      <x:c r="R264" s="80" t="str"/>
      <x:c r="S264" s="84" t="n">
        <x:f>IF(AND(OR(H264="Solved",H264="Revised"),G264="New (counts toward 400)"),1,0)</x:f>
        <x:v>0</x:v>
      </x:c>
    </x:row>
    <x:row r="265" ht="48" customHeight="1">
      <x:c r="A265" s="84" t="n">
        <x:v>262</x:v>
      </x:c>
      <x:c r="B265" s="84" t="n">
        <x:v>401</x:v>
      </x:c>
      <x:c r="C265" s="80" t="str">
        <x:v>Binary Watch</x:v>
      </x:c>
      <x:c r="D265" s="84" t="str">
        <x:v>Easy</x:v>
      </x:c>
      <x:c r="E265" s="84" t="str">
        <x:v>Backtracking / Bit Manipulation</x:v>
      </x:c>
      <x:c r="F265" s="84" t="str">
        <x:v>P3</x:v>
      </x:c>
      <x:c r="G265" s="84" t="str">
        <x:v>New (counts toward 400)</x:v>
      </x:c>
      <x:c r="H265" s="84" t="str">
        <x:v>Not Started</x:v>
      </x:c>
      <x:c r="I265" s="80" t="str">
        <x:v>Generate every choice sequence and validate completed candidates.</x:v>
      </x:c>
      <x:c r="J265" s="80" t="str">
        <x:v>Use choose→explore→unchoose, prune invalid partial states early, and skip duplicate choices at the same depth.</x:v>
      </x:c>
      <x:c r="K265" s="80" t="str">
        <x:v>Exponential / output-sensitive</x:v>
      </x:c>
      <x:c r="L265" s="80" t="str">
        <x:v>O(depth) plus output</x:v>
      </x:c>
      <x:c r="M265" s="84" t="n">
        <x:v>0</x:v>
      </x:c>
      <x:c r="N265" s="86"/>
      <x:c r="O265" s="84"/>
      <x:c r="P265" s="86"/>
      <x:c r="Q265" s="80" t="str">
        <x:v>https://leetcode.com/problems/binary-watch/</x:v>
      </x:c>
      <x:c r="R265" s="80" t="str"/>
      <x:c r="S265" s="84" t="n">
        <x:f>IF(AND(OR(H265="Solved",H265="Revised"),G265="New (counts toward 400)"),1,0)</x:f>
        <x:v>0</x:v>
      </x:c>
    </x:row>
    <x:row r="266" ht="48" customHeight="1">
      <x:c r="A266" s="84" t="n">
        <x:v>263</x:v>
      </x:c>
      <x:c r="B266" s="84" t="n">
        <x:v>1219</x:v>
      </x:c>
      <x:c r="C266" s="80" t="str">
        <x:v>Path with Maximum Gold</x:v>
      </x:c>
      <x:c r="D266" s="84" t="str">
        <x:v>Medium</x:v>
      </x:c>
      <x:c r="E266" s="84" t="str">
        <x:v>Backtracking / Matrix DFS</x:v>
      </x:c>
      <x:c r="F266" s="84" t="str">
        <x:v>P2</x:v>
      </x:c>
      <x:c r="G266" s="84" t="str">
        <x:v>New (counts toward 400)</x:v>
      </x:c>
      <x:c r="H266" s="84" t="str">
        <x:v>Not Started</x:v>
      </x:c>
      <x:c r="I266" s="80" t="str">
        <x:v>Generate every choice sequence and validate completed candidates.</x:v>
      </x:c>
      <x:c r="J266" s="80" t="str">
        <x:v>Use choose→explore→unchoose, prune invalid partial states early, and skip duplicate choices at the same depth.</x:v>
      </x:c>
      <x:c r="K266" s="80" t="str">
        <x:v>Exponential / output-sensitive</x:v>
      </x:c>
      <x:c r="L266" s="80" t="str">
        <x:v>O(depth) plus output</x:v>
      </x:c>
      <x:c r="M266" s="84" t="n">
        <x:v>0</x:v>
      </x:c>
      <x:c r="N266" s="86"/>
      <x:c r="O266" s="84"/>
      <x:c r="P266" s="86"/>
      <x:c r="Q266" s="80" t="str">
        <x:v>https://leetcode.com/problems/path-with-maximum-gold/</x:v>
      </x:c>
      <x:c r="R266" s="80" t="str"/>
      <x:c r="S266" s="84" t="n">
        <x:f>IF(AND(OR(H266="Solved",H266="Revised"),G266="New (counts toward 400)"),1,0)</x:f>
        <x:v>0</x:v>
      </x:c>
    </x:row>
    <x:row r="267" ht="48" customHeight="1">
      <x:c r="A267" s="84" t="n">
        <x:v>264</x:v>
      </x:c>
      <x:c r="B267" s="84" t="n">
        <x:v>200</x:v>
      </x:c>
      <x:c r="C267" s="80" t="str">
        <x:v>Number of Islands</x:v>
      </x:c>
      <x:c r="D267" s="84" t="str">
        <x:v>Medium</x:v>
      </x:c>
      <x:c r="E267" s="84" t="str">
        <x:v>Graph / DFS / BFS</x:v>
      </x:c>
      <x:c r="F267" s="84" t="str">
        <x:v>P1</x:v>
      </x:c>
      <x:c r="G267" s="84" t="str">
        <x:v>New (counts toward 400)</x:v>
      </x:c>
      <x:c r="H267" s="84" t="str">
        <x:v>Not Started</x:v>
      </x:c>
      <x:c r="I267" s="80" t="str">
        <x:v>Revisit connected land regions from many cells without a global visited marker.</x:v>
      </x:c>
      <x:c r="J267" s="80" t="str">
        <x:v>Scan the grid; DFS/BFS each unvisited land cell and mark the whole component.</x:v>
      </x:c>
      <x:c r="K267" s="80" t="str">
        <x:v>O(rows × cols)</x:v>
      </x:c>
      <x:c r="L267" s="80" t="str">
        <x:v>O(rows × cols) worst-case</x:v>
      </x:c>
      <x:c r="M267" s="84" t="n">
        <x:v>0</x:v>
      </x:c>
      <x:c r="N267" s="86"/>
      <x:c r="O267" s="84"/>
      <x:c r="P267" s="86"/>
      <x:c r="Q267" s="80" t="str">
        <x:v>https://leetcode.com/problems/number-of-islands/</x:v>
      </x:c>
      <x:c r="R267" s="80" t="str"/>
      <x:c r="S267" s="84" t="n">
        <x:f>IF(AND(OR(H267="Solved",H267="Revised"),G267="New (counts toward 400)"),1,0)</x:f>
        <x:v>0</x:v>
      </x:c>
    </x:row>
    <x:row r="268" ht="48" customHeight="1">
      <x:c r="A268" s="84" t="n">
        <x:v>265</x:v>
      </x:c>
      <x:c r="B268" s="84" t="n">
        <x:v>695</x:v>
      </x:c>
      <x:c r="C268" s="80" t="str">
        <x:v>Max Area of Island</x:v>
      </x:c>
      <x:c r="D268" s="84" t="str">
        <x:v>Medium</x:v>
      </x:c>
      <x:c r="E268" s="84" t="str">
        <x:v>Graph / DFS</x:v>
      </x:c>
      <x:c r="F268" s="84" t="str">
        <x:v>P1</x:v>
      </x:c>
      <x:c r="G268" s="84" t="str">
        <x:v>New (counts toward 400)</x:v>
      </x:c>
      <x:c r="H268" s="84" t="str">
        <x:v>Not Started</x:v>
      </x:c>
      <x:c r="I268" s="80" t="str">
        <x:v>Repeatedly search from many states or enumerate possible paths.</x:v>
      </x:c>
      <x:c r="J268" s="80" t="str">
        <x:v>Use adjacency lists and choose BFS/DFS, topological sort, DSU, or Dijkstra according to the graph property.</x:v>
      </x:c>
      <x:c r="K268" s="80" t="str">
        <x:v>O(V+E) for BFS/DFS; weighted variants differ</x:v>
      </x:c>
      <x:c r="L268" s="80" t="str">
        <x:v>O(V+E)</x:v>
      </x:c>
      <x:c r="M268" s="84" t="n">
        <x:v>0</x:v>
      </x:c>
      <x:c r="N268" s="86"/>
      <x:c r="O268" s="84"/>
      <x:c r="P268" s="86"/>
      <x:c r="Q268" s="80" t="str">
        <x:v>https://leetcode.com/problems/max-area-of-island/</x:v>
      </x:c>
      <x:c r="R268" s="80" t="str"/>
      <x:c r="S268" s="84" t="n">
        <x:f>IF(AND(OR(H268="Solved",H268="Revised"),G268="New (counts toward 400)"),1,0)</x:f>
        <x:v>0</x:v>
      </x:c>
    </x:row>
    <x:row r="269" ht="48" customHeight="1">
      <x:c r="A269" s="84" t="n">
        <x:v>266</x:v>
      </x:c>
      <x:c r="B269" s="84" t="n">
        <x:v>733</x:v>
      </x:c>
      <x:c r="C269" s="80" t="str">
        <x:v>Flood Fill</x:v>
      </x:c>
      <x:c r="D269" s="84" t="str">
        <x:v>Easy</x:v>
      </x:c>
      <x:c r="E269" s="84" t="str">
        <x:v>Graph / DFS / BFS</x:v>
      </x:c>
      <x:c r="F269" s="84" t="str">
        <x:v>P2</x:v>
      </x:c>
      <x:c r="G269" s="84" t="str">
        <x:v>New (counts toward 400)</x:v>
      </x:c>
      <x:c r="H269" s="84" t="str">
        <x:v>Not Started</x:v>
      </x:c>
      <x:c r="I269" s="80" t="str">
        <x:v>Repeatedly search from many states or enumerate possible paths.</x:v>
      </x:c>
      <x:c r="J269" s="80" t="str">
        <x:v>Use adjacency lists and choose BFS/DFS, topological sort, DSU, or Dijkstra according to the graph property.</x:v>
      </x:c>
      <x:c r="K269" s="80" t="str">
        <x:v>O(V+E) for BFS/DFS; weighted variants differ</x:v>
      </x:c>
      <x:c r="L269" s="80" t="str">
        <x:v>O(V+E)</x:v>
      </x:c>
      <x:c r="M269" s="84" t="n">
        <x:v>0</x:v>
      </x:c>
      <x:c r="N269" s="86"/>
      <x:c r="O269" s="84"/>
      <x:c r="P269" s="86"/>
      <x:c r="Q269" s="80" t="str">
        <x:v>https://leetcode.com/problems/flood-fill/</x:v>
      </x:c>
      <x:c r="R269" s="80" t="str"/>
      <x:c r="S269" s="84" t="n">
        <x:f>IF(AND(OR(H269="Solved",H269="Revised"),G269="New (counts toward 400)"),1,0)</x:f>
        <x:v>0</x:v>
      </x:c>
    </x:row>
    <x:row r="270" ht="48" customHeight="1">
      <x:c r="A270" s="84" t="n">
        <x:v>267</x:v>
      </x:c>
      <x:c r="B270" s="84" t="n">
        <x:v>994</x:v>
      </x:c>
      <x:c r="C270" s="80" t="str">
        <x:v>Rotting Oranges</x:v>
      </x:c>
      <x:c r="D270" s="84" t="str">
        <x:v>Medium</x:v>
      </x:c>
      <x:c r="E270" s="84" t="str">
        <x:v>Graph / Multi-source BFS</x:v>
      </x:c>
      <x:c r="F270" s="84" t="str">
        <x:v>P1</x:v>
      </x:c>
      <x:c r="G270" s="84" t="str">
        <x:v>New (counts toward 400)</x:v>
      </x:c>
      <x:c r="H270" s="84" t="str">
        <x:v>Not Started</x:v>
      </x:c>
      <x:c r="I270" s="80" t="str">
        <x:v>Repeatedly search from many states or enumerate possible paths.</x:v>
      </x:c>
      <x:c r="J270" s="80" t="str">
        <x:v>Use adjacency lists and choose BFS/DFS, topological sort, DSU, or Dijkstra according to the graph property.</x:v>
      </x:c>
      <x:c r="K270" s="80" t="str">
        <x:v>O(V+E) for BFS/DFS; weighted variants differ</x:v>
      </x:c>
      <x:c r="L270" s="80" t="str">
        <x:v>O(V+E)</x:v>
      </x:c>
      <x:c r="M270" s="84" t="n">
        <x:v>0</x:v>
      </x:c>
      <x:c r="N270" s="86"/>
      <x:c r="O270" s="84"/>
      <x:c r="P270" s="86"/>
      <x:c r="Q270" s="80" t="str">
        <x:v>https://leetcode.com/problems/rotting-oranges/</x:v>
      </x:c>
      <x:c r="R270" s="80" t="str"/>
      <x:c r="S270" s="84" t="n">
        <x:f>IF(AND(OR(H270="Solved",H270="Revised"),G270="New (counts toward 400)"),1,0)</x:f>
        <x:v>0</x:v>
      </x:c>
    </x:row>
    <x:row r="271" ht="48" customHeight="1">
      <x:c r="A271" s="84" t="n">
        <x:v>268</x:v>
      </x:c>
      <x:c r="B271" s="84" t="n">
        <x:v>1091</x:v>
      </x:c>
      <x:c r="C271" s="80" t="str">
        <x:v>Shortest Path in Binary Matrix</x:v>
      </x:c>
      <x:c r="D271" s="84" t="str">
        <x:v>Medium</x:v>
      </x:c>
      <x:c r="E271" s="84" t="str">
        <x:v>Graph / BFS</x:v>
      </x:c>
      <x:c r="F271" s="84" t="str">
        <x:v>P2</x:v>
      </x:c>
      <x:c r="G271" s="84" t="str">
        <x:v>New (counts toward 400)</x:v>
      </x:c>
      <x:c r="H271" s="84" t="str">
        <x:v>Not Started</x:v>
      </x:c>
      <x:c r="I271" s="80" t="str">
        <x:v>Repeatedly search from many states or enumerate possible paths.</x:v>
      </x:c>
      <x:c r="J271" s="80" t="str">
        <x:v>Use adjacency lists and choose BFS/DFS, topological sort, DSU, or Dijkstra according to the graph property.</x:v>
      </x:c>
      <x:c r="K271" s="80" t="str">
        <x:v>O(V+E) for BFS/DFS; weighted variants differ</x:v>
      </x:c>
      <x:c r="L271" s="80" t="str">
        <x:v>O(V+E)</x:v>
      </x:c>
      <x:c r="M271" s="84" t="n">
        <x:v>0</x:v>
      </x:c>
      <x:c r="N271" s="86"/>
      <x:c r="O271" s="84"/>
      <x:c r="P271" s="86"/>
      <x:c r="Q271" s="80" t="str">
        <x:v>https://leetcode.com/problems/shortest-path-in-binary-matrix/</x:v>
      </x:c>
      <x:c r="R271" s="80" t="str"/>
      <x:c r="S271" s="84" t="n">
        <x:f>IF(AND(OR(H271="Solved",H271="Revised"),G271="New (counts toward 400)"),1,0)</x:f>
        <x:v>0</x:v>
      </x:c>
    </x:row>
    <x:row r="272" ht="48" customHeight="1">
      <x:c r="A272" s="84" t="n">
        <x:v>269</x:v>
      </x:c>
      <x:c r="B272" s="84" t="n">
        <x:v>542</x:v>
      </x:c>
      <x:c r="C272" s="80" t="str">
        <x:v>01 Matrix</x:v>
      </x:c>
      <x:c r="D272" s="84" t="str">
        <x:v>Medium</x:v>
      </x:c>
      <x:c r="E272" s="84" t="str">
        <x:v>Graph / Multi-source BFS</x:v>
      </x:c>
      <x:c r="F272" s="84" t="str">
        <x:v>P2</x:v>
      </x:c>
      <x:c r="G272" s="84" t="str">
        <x:v>New (counts toward 400)</x:v>
      </x:c>
      <x:c r="H272" s="84" t="str">
        <x:v>Not Started</x:v>
      </x:c>
      <x:c r="I272" s="80" t="str">
        <x:v>Repeatedly search from many states or enumerate possible paths.</x:v>
      </x:c>
      <x:c r="J272" s="80" t="str">
        <x:v>Use adjacency lists and choose BFS/DFS, topological sort, DSU, or Dijkstra according to the graph property.</x:v>
      </x:c>
      <x:c r="K272" s="80" t="str">
        <x:v>O(V+E) for BFS/DFS; weighted variants differ</x:v>
      </x:c>
      <x:c r="L272" s="80" t="str">
        <x:v>O(V+E)</x:v>
      </x:c>
      <x:c r="M272" s="84" t="n">
        <x:v>0</x:v>
      </x:c>
      <x:c r="N272" s="86"/>
      <x:c r="O272" s="84"/>
      <x:c r="P272" s="86"/>
      <x:c r="Q272" s="80" t="str">
        <x:v>https://leetcode.com/problems/01-matrix/</x:v>
      </x:c>
      <x:c r="R272" s="80" t="str"/>
      <x:c r="S272" s="84" t="n">
        <x:f>IF(AND(OR(H272="Solved",H272="Revised"),G272="New (counts toward 400)"),1,0)</x:f>
        <x:v>0</x:v>
      </x:c>
    </x:row>
    <x:row r="273" ht="48" customHeight="1">
      <x:c r="A273" s="84" t="n">
        <x:v>270</x:v>
      </x:c>
      <x:c r="B273" s="84" t="n">
        <x:v>417</x:v>
      </x:c>
      <x:c r="C273" s="80" t="str">
        <x:v>Pacific Atlantic Water Flow</x:v>
      </x:c>
      <x:c r="D273" s="84" t="str">
        <x:v>Medium</x:v>
      </x:c>
      <x:c r="E273" s="84" t="str">
        <x:v>Graph / DFS / BFS</x:v>
      </x:c>
      <x:c r="F273" s="84" t="str">
        <x:v>P1</x:v>
      </x:c>
      <x:c r="G273" s="84" t="str">
        <x:v>New (counts toward 400)</x:v>
      </x:c>
      <x:c r="H273" s="84" t="str">
        <x:v>Not Started</x:v>
      </x:c>
      <x:c r="I273" s="80" t="str">
        <x:v>Repeatedly search from many states or enumerate possible paths.</x:v>
      </x:c>
      <x:c r="J273" s="80" t="str">
        <x:v>Use adjacency lists and choose BFS/DFS, topological sort, DSU, or Dijkstra according to the graph property.</x:v>
      </x:c>
      <x:c r="K273" s="80" t="str">
        <x:v>O(V+E) for BFS/DFS; weighted variants differ</x:v>
      </x:c>
      <x:c r="L273" s="80" t="str">
        <x:v>O(V+E)</x:v>
      </x:c>
      <x:c r="M273" s="84" t="n">
        <x:v>0</x:v>
      </x:c>
      <x:c r="N273" s="86"/>
      <x:c r="O273" s="84"/>
      <x:c r="P273" s="86"/>
      <x:c r="Q273" s="80" t="str">
        <x:v>https://leetcode.com/problems/pacific-atlantic-water-flow/</x:v>
      </x:c>
      <x:c r="R273" s="80" t="str"/>
      <x:c r="S273" s="84" t="n">
        <x:f>IF(AND(OR(H273="Solved",H273="Revised"),G273="New (counts toward 400)"),1,0)</x:f>
        <x:v>0</x:v>
      </x:c>
    </x:row>
    <x:row r="274" ht="48" customHeight="1">
      <x:c r="A274" s="84" t="n">
        <x:v>271</x:v>
      </x:c>
      <x:c r="B274" s="84" t="n">
        <x:v>130</x:v>
      </x:c>
      <x:c r="C274" s="80" t="str">
        <x:v>Surrounded Regions</x:v>
      </x:c>
      <x:c r="D274" s="84" t="str">
        <x:v>Medium</x:v>
      </x:c>
      <x:c r="E274" s="84" t="str">
        <x:v>Graph / DFS / BFS</x:v>
      </x:c>
      <x:c r="F274" s="84" t="str">
        <x:v>P2</x:v>
      </x:c>
      <x:c r="G274" s="84" t="str">
        <x:v>New (counts toward 400)</x:v>
      </x:c>
      <x:c r="H274" s="84" t="str">
        <x:v>Not Started</x:v>
      </x:c>
      <x:c r="I274" s="80" t="str">
        <x:v>Repeatedly search from many states or enumerate possible paths.</x:v>
      </x:c>
      <x:c r="J274" s="80" t="str">
        <x:v>Use adjacency lists and choose BFS/DFS, topological sort, DSU, or Dijkstra according to the graph property.</x:v>
      </x:c>
      <x:c r="K274" s="80" t="str">
        <x:v>O(V+E) for BFS/DFS; weighted variants differ</x:v>
      </x:c>
      <x:c r="L274" s="80" t="str">
        <x:v>O(V+E)</x:v>
      </x:c>
      <x:c r="M274" s="84" t="n">
        <x:v>0</x:v>
      </x:c>
      <x:c r="N274" s="86"/>
      <x:c r="O274" s="84"/>
      <x:c r="P274" s="86"/>
      <x:c r="Q274" s="80" t="str">
        <x:v>https://leetcode.com/problems/surrounded-regions/</x:v>
      </x:c>
      <x:c r="R274" s="80" t="str"/>
      <x:c r="S274" s="84" t="n">
        <x:f>IF(AND(OR(H274="Solved",H274="Revised"),G274="New (counts toward 400)"),1,0)</x:f>
        <x:v>0</x:v>
      </x:c>
    </x:row>
    <x:row r="275" ht="48" customHeight="1">
      <x:c r="A275" s="84" t="n">
        <x:v>272</x:v>
      </x:c>
      <x:c r="B275" s="84" t="n">
        <x:v>127</x:v>
      </x:c>
      <x:c r="C275" s="80" t="str">
        <x:v>Word Ladder</x:v>
      </x:c>
      <x:c r="D275" s="84" t="str">
        <x:v>Hard</x:v>
      </x:c>
      <x:c r="E275" s="84" t="str">
        <x:v>Graph / BFS</x:v>
      </x:c>
      <x:c r="F275" s="84" t="str">
        <x:v>P1</x:v>
      </x:c>
      <x:c r="G275" s="84" t="str">
        <x:v>New (counts toward 400)</x:v>
      </x:c>
      <x:c r="H275" s="84" t="str">
        <x:v>Not Started</x:v>
      </x:c>
      <x:c r="I275" s="80" t="str">
        <x:v>Repeatedly search from many states or enumerate possible paths.</x:v>
      </x:c>
      <x:c r="J275" s="80" t="str">
        <x:v>Use adjacency lists and choose BFS/DFS, topological sort, DSU, or Dijkstra according to the graph property.</x:v>
      </x:c>
      <x:c r="K275" s="80" t="str">
        <x:v>O(V+E) for BFS/DFS; weighted variants differ</x:v>
      </x:c>
      <x:c r="L275" s="80" t="str">
        <x:v>O(V+E)</x:v>
      </x:c>
      <x:c r="M275" s="84" t="n">
        <x:v>0</x:v>
      </x:c>
      <x:c r="N275" s="86"/>
      <x:c r="O275" s="84"/>
      <x:c r="P275" s="86"/>
      <x:c r="Q275" s="80" t="str">
        <x:v>https://leetcode.com/problems/word-ladder/</x:v>
      </x:c>
      <x:c r="R275" s="80" t="str"/>
      <x:c r="S275" s="84" t="n">
        <x:f>IF(AND(OR(H275="Solved",H275="Revised"),G275="New (counts toward 400)"),1,0)</x:f>
        <x:v>0</x:v>
      </x:c>
    </x:row>
    <x:row r="276" ht="48" customHeight="1">
      <x:c r="A276" s="84" t="n">
        <x:v>273</x:v>
      </x:c>
      <x:c r="B276" s="84" t="n">
        <x:v>126</x:v>
      </x:c>
      <x:c r="C276" s="80" t="str">
        <x:v>Word Ladder II</x:v>
      </x:c>
      <x:c r="D276" s="84" t="str">
        <x:v>Hard</x:v>
      </x:c>
      <x:c r="E276" s="84" t="str">
        <x:v>Graph / BFS / Backtracking</x:v>
      </x:c>
      <x:c r="F276" s="84" t="str">
        <x:v>P3</x:v>
      </x:c>
      <x:c r="G276" s="84" t="str">
        <x:v>New (counts toward 400)</x:v>
      </x:c>
      <x:c r="H276" s="84" t="str">
        <x:v>Not Started</x:v>
      </x:c>
      <x:c r="I276" s="80" t="str">
        <x:v>Repeatedly search from many states or enumerate possible paths.</x:v>
      </x:c>
      <x:c r="J276" s="80" t="str">
        <x:v>Use adjacency lists and choose BFS/DFS, topological sort, DSU, or Dijkstra according to the graph property.</x:v>
      </x:c>
      <x:c r="K276" s="80" t="str">
        <x:v>O(V+E) for BFS/DFS; weighted variants differ</x:v>
      </x:c>
      <x:c r="L276" s="80" t="str">
        <x:v>O(V+E)</x:v>
      </x:c>
      <x:c r="M276" s="84" t="n">
        <x:v>0</x:v>
      </x:c>
      <x:c r="N276" s="86"/>
      <x:c r="O276" s="84"/>
      <x:c r="P276" s="86"/>
      <x:c r="Q276" s="80" t="str">
        <x:v>https://leetcode.com/problems/word-ladder-ii/</x:v>
      </x:c>
      <x:c r="R276" s="80" t="str"/>
      <x:c r="S276" s="84" t="n">
        <x:f>IF(AND(OR(H276="Solved",H276="Revised"),G276="New (counts toward 400)"),1,0)</x:f>
        <x:v>0</x:v>
      </x:c>
    </x:row>
    <x:row r="277" ht="48" customHeight="1">
      <x:c r="A277" s="84" t="n">
        <x:v>274</x:v>
      </x:c>
      <x:c r="B277" s="84" t="n">
        <x:v>207</x:v>
      </x:c>
      <x:c r="C277" s="80" t="str">
        <x:v>Course Schedule</x:v>
      </x:c>
      <x:c r="D277" s="84" t="str">
        <x:v>Medium</x:v>
      </x:c>
      <x:c r="E277" s="84" t="str">
        <x:v>Graph / Topological Sort</x:v>
      </x:c>
      <x:c r="F277" s="84" t="str">
        <x:v>P1</x:v>
      </x:c>
      <x:c r="G277" s="84" t="str">
        <x:v>New (counts toward 400)</x:v>
      </x:c>
      <x:c r="H277" s="84" t="str">
        <x:v>Not Started</x:v>
      </x:c>
      <x:c r="I277" s="80" t="str">
        <x:v>Try course orderings or repeatedly search prerequisite relationships.</x:v>
      </x:c>
      <x:c r="J277" s="80" t="str">
        <x:v>Build adjacency lists and use DFS cycle detection or Kahn's topological sort.</x:v>
      </x:c>
      <x:c r="K277" s="80" t="str">
        <x:v>O(V+E)</x:v>
      </x:c>
      <x:c r="L277" s="80" t="str">
        <x:v>O(V+E)</x:v>
      </x:c>
      <x:c r="M277" s="84" t="n">
        <x:v>0</x:v>
      </x:c>
      <x:c r="N277" s="86"/>
      <x:c r="O277" s="84"/>
      <x:c r="P277" s="86"/>
      <x:c r="Q277" s="80" t="str">
        <x:v>https://leetcode.com/problems/course-schedule/</x:v>
      </x:c>
      <x:c r="R277" s="80" t="str"/>
      <x:c r="S277" s="84" t="n">
        <x:f>IF(AND(OR(H277="Solved",H277="Revised"),G277="New (counts toward 400)"),1,0)</x:f>
        <x:v>0</x:v>
      </x:c>
    </x:row>
    <x:row r="278" ht="48" customHeight="1">
      <x:c r="A278" s="84" t="n">
        <x:v>275</x:v>
      </x:c>
      <x:c r="B278" s="84" t="n">
        <x:v>210</x:v>
      </x:c>
      <x:c r="C278" s="80" t="str">
        <x:v>Course Schedule II</x:v>
      </x:c>
      <x:c r="D278" s="84" t="str">
        <x:v>Medium</x:v>
      </x:c>
      <x:c r="E278" s="84" t="str">
        <x:v>Graph / Topological Sort</x:v>
      </x:c>
      <x:c r="F278" s="84" t="str">
        <x:v>P1</x:v>
      </x:c>
      <x:c r="G278" s="84" t="str">
        <x:v>New (counts toward 400)</x:v>
      </x:c>
      <x:c r="H278" s="84" t="str">
        <x:v>Not Started</x:v>
      </x:c>
      <x:c r="I278" s="80" t="str">
        <x:v>Repeatedly search from many states or enumerate possible paths.</x:v>
      </x:c>
      <x:c r="J278" s="80" t="str">
        <x:v>Use adjacency lists and choose BFS/DFS, topological sort, DSU, or Dijkstra according to the graph property.</x:v>
      </x:c>
      <x:c r="K278" s="80" t="str">
        <x:v>O(V+E) for BFS/DFS; weighted variants differ</x:v>
      </x:c>
      <x:c r="L278" s="80" t="str">
        <x:v>O(V+E)</x:v>
      </x:c>
      <x:c r="M278" s="84" t="n">
        <x:v>0</x:v>
      </x:c>
      <x:c r="N278" s="86"/>
      <x:c r="O278" s="84"/>
      <x:c r="P278" s="86"/>
      <x:c r="Q278" s="80" t="str">
        <x:v>https://leetcode.com/problems/course-schedule-ii/</x:v>
      </x:c>
      <x:c r="R278" s="80" t="str"/>
      <x:c r="S278" s="84" t="n">
        <x:f>IF(AND(OR(H278="Solved",H278="Revised"),G278="New (counts toward 400)"),1,0)</x:f>
        <x:v>0</x:v>
      </x:c>
    </x:row>
    <x:row r="279" ht="48" customHeight="1">
      <x:c r="A279" s="84" t="n">
        <x:v>276</x:v>
      </x:c>
      <x:c r="B279" s="84" t="n">
        <x:v>797</x:v>
      </x:c>
      <x:c r="C279" s="80" t="str">
        <x:v>All Paths From Source to Target</x:v>
      </x:c>
      <x:c r="D279" s="84" t="str">
        <x:v>Medium</x:v>
      </x:c>
      <x:c r="E279" s="84" t="str">
        <x:v>Graph / DFS</x:v>
      </x:c>
      <x:c r="F279" s="84" t="str">
        <x:v>P2</x:v>
      </x:c>
      <x:c r="G279" s="84" t="str">
        <x:v>New (counts toward 400)</x:v>
      </x:c>
      <x:c r="H279" s="84" t="str">
        <x:v>Not Started</x:v>
      </x:c>
      <x:c r="I279" s="80" t="str">
        <x:v>Repeatedly search from many states or enumerate possible paths.</x:v>
      </x:c>
      <x:c r="J279" s="80" t="str">
        <x:v>Use adjacency lists and choose BFS/DFS, topological sort, DSU, or Dijkstra according to the graph property.</x:v>
      </x:c>
      <x:c r="K279" s="80" t="str">
        <x:v>O(V+E) for BFS/DFS; weighted variants differ</x:v>
      </x:c>
      <x:c r="L279" s="80" t="str">
        <x:v>O(V+E)</x:v>
      </x:c>
      <x:c r="M279" s="84" t="n">
        <x:v>0</x:v>
      </x:c>
      <x:c r="N279" s="86"/>
      <x:c r="O279" s="84"/>
      <x:c r="P279" s="86"/>
      <x:c r="Q279" s="80" t="str">
        <x:v>https://leetcode.com/problems/all-paths-from-source-to-target/</x:v>
      </x:c>
      <x:c r="R279" s="80" t="str"/>
      <x:c r="S279" s="84" t="n">
        <x:f>IF(AND(OR(H279="Solved",H279="Revised"),G279="New (counts toward 400)"),1,0)</x:f>
        <x:v>0</x:v>
      </x:c>
    </x:row>
    <x:row r="280" ht="48" customHeight="1">
      <x:c r="A280" s="84" t="n">
        <x:v>277</x:v>
      </x:c>
      <x:c r="B280" s="84" t="n">
        <x:v>841</x:v>
      </x:c>
      <x:c r="C280" s="80" t="str">
        <x:v>Keys and Rooms</x:v>
      </x:c>
      <x:c r="D280" s="84" t="str">
        <x:v>Medium</x:v>
      </x:c>
      <x:c r="E280" s="84" t="str">
        <x:v>Graph / DFS</x:v>
      </x:c>
      <x:c r="F280" s="84" t="str">
        <x:v>P2</x:v>
      </x:c>
      <x:c r="G280" s="84" t="str">
        <x:v>New (counts toward 400)</x:v>
      </x:c>
      <x:c r="H280" s="84" t="str">
        <x:v>Not Started</x:v>
      </x:c>
      <x:c r="I280" s="80" t="str">
        <x:v>Repeatedly search from many states or enumerate possible paths.</x:v>
      </x:c>
      <x:c r="J280" s="80" t="str">
        <x:v>Use adjacency lists and choose BFS/DFS, topological sort, DSU, or Dijkstra according to the graph property.</x:v>
      </x:c>
      <x:c r="K280" s="80" t="str">
        <x:v>O(V+E) for BFS/DFS; weighted variants differ</x:v>
      </x:c>
      <x:c r="L280" s="80" t="str">
        <x:v>O(V+E)</x:v>
      </x:c>
      <x:c r="M280" s="84" t="n">
        <x:v>0</x:v>
      </x:c>
      <x:c r="N280" s="86"/>
      <x:c r="O280" s="84"/>
      <x:c r="P280" s="86"/>
      <x:c r="Q280" s="80" t="str">
        <x:v>https://leetcode.com/problems/keys-and-rooms/</x:v>
      </x:c>
      <x:c r="R280" s="80" t="str"/>
      <x:c r="S280" s="84" t="n">
        <x:f>IF(AND(OR(H280="Solved",H280="Revised"),G280="New (counts toward 400)"),1,0)</x:f>
        <x:v>0</x:v>
      </x:c>
    </x:row>
    <x:row r="281" ht="48" customHeight="1">
      <x:c r="A281" s="84" t="n">
        <x:v>278</x:v>
      </x:c>
      <x:c r="B281" s="84" t="n">
        <x:v>785</x:v>
      </x:c>
      <x:c r="C281" s="80" t="str">
        <x:v>Is Graph Bipartite?</x:v>
      </x:c>
      <x:c r="D281" s="84" t="str">
        <x:v>Medium</x:v>
      </x:c>
      <x:c r="E281" s="84" t="str">
        <x:v>Graph / BFS / DFS</x:v>
      </x:c>
      <x:c r="F281" s="84" t="str">
        <x:v>P2</x:v>
      </x:c>
      <x:c r="G281" s="84" t="str">
        <x:v>New (counts toward 400)</x:v>
      </x:c>
      <x:c r="H281" s="84" t="str">
        <x:v>Not Started</x:v>
      </x:c>
      <x:c r="I281" s="80" t="str">
        <x:v>Repeatedly search from many states or enumerate possible paths.</x:v>
      </x:c>
      <x:c r="J281" s="80" t="str">
        <x:v>Use adjacency lists and choose BFS/DFS, topological sort, DSU, or Dijkstra according to the graph property.</x:v>
      </x:c>
      <x:c r="K281" s="80" t="str">
        <x:v>O(V+E) for BFS/DFS; weighted variants differ</x:v>
      </x:c>
      <x:c r="L281" s="80" t="str">
        <x:v>O(V+E)</x:v>
      </x:c>
      <x:c r="M281" s="84" t="n">
        <x:v>0</x:v>
      </x:c>
      <x:c r="N281" s="86"/>
      <x:c r="O281" s="84"/>
      <x:c r="P281" s="86"/>
      <x:c r="Q281" s="80" t="str">
        <x:v>https://leetcode.com/problems/is-graph-bipartite/</x:v>
      </x:c>
      <x:c r="R281" s="80" t="str"/>
      <x:c r="S281" s="84" t="n">
        <x:f>IF(AND(OR(H281="Solved",H281="Revised"),G281="New (counts toward 400)"),1,0)</x:f>
        <x:v>0</x:v>
      </x:c>
    </x:row>
    <x:row r="282" ht="48" customHeight="1">
      <x:c r="A282" s="84" t="n">
        <x:v>279</x:v>
      </x:c>
      <x:c r="B282" s="84" t="n">
        <x:v>886</x:v>
      </x:c>
      <x:c r="C282" s="80" t="str">
        <x:v>Possible Bipartition</x:v>
      </x:c>
      <x:c r="D282" s="84" t="str">
        <x:v>Medium</x:v>
      </x:c>
      <x:c r="E282" s="84" t="str">
        <x:v>Graph / Coloring</x:v>
      </x:c>
      <x:c r="F282" s="84" t="str">
        <x:v>P2</x:v>
      </x:c>
      <x:c r="G282" s="84" t="str">
        <x:v>New (counts toward 400)</x:v>
      </x:c>
      <x:c r="H282" s="84" t="str">
        <x:v>Not Started</x:v>
      </x:c>
      <x:c r="I282" s="80" t="str">
        <x:v>Repeatedly search from many states or enumerate possible paths.</x:v>
      </x:c>
      <x:c r="J282" s="80" t="str">
        <x:v>Use adjacency lists and choose BFS/DFS, topological sort, DSU, or Dijkstra according to the graph property.</x:v>
      </x:c>
      <x:c r="K282" s="80" t="str">
        <x:v>O(V+E) for BFS/DFS; weighted variants differ</x:v>
      </x:c>
      <x:c r="L282" s="80" t="str">
        <x:v>O(V+E)</x:v>
      </x:c>
      <x:c r="M282" s="84" t="n">
        <x:v>0</x:v>
      </x:c>
      <x:c r="N282" s="86"/>
      <x:c r="O282" s="84"/>
      <x:c r="P282" s="86"/>
      <x:c r="Q282" s="80" t="str">
        <x:v>https://leetcode.com/problems/possible-bipartition/</x:v>
      </x:c>
      <x:c r="R282" s="80" t="str"/>
      <x:c r="S282" s="84" t="n">
        <x:f>IF(AND(OR(H282="Solved",H282="Revised"),G282="New (counts toward 400)"),1,0)</x:f>
        <x:v>0</x:v>
      </x:c>
    </x:row>
    <x:row r="283" ht="48" customHeight="1">
      <x:c r="A283" s="84" t="n">
        <x:v>280</x:v>
      </x:c>
      <x:c r="B283" s="84" t="n">
        <x:v>684</x:v>
      </x:c>
      <x:c r="C283" s="80" t="str">
        <x:v>Redundant Connection</x:v>
      </x:c>
      <x:c r="D283" s="84" t="str">
        <x:v>Medium</x:v>
      </x:c>
      <x:c r="E283" s="84" t="str">
        <x:v>Graph / Union Find</x:v>
      </x:c>
      <x:c r="F283" s="84" t="str">
        <x:v>P1</x:v>
      </x:c>
      <x:c r="G283" s="84" t="str">
        <x:v>New (counts toward 400)</x:v>
      </x:c>
      <x:c r="H283" s="84" t="str">
        <x:v>Not Started</x:v>
      </x:c>
      <x:c r="I283" s="80" t="str">
        <x:v>Repeatedly search from many states or enumerate possible paths.</x:v>
      </x:c>
      <x:c r="J283" s="80" t="str">
        <x:v>Use adjacency lists and choose BFS/DFS, topological sort, DSU, or Dijkstra according to the graph property.</x:v>
      </x:c>
      <x:c r="K283" s="80" t="str">
        <x:v>O(V+E) for BFS/DFS; weighted variants differ</x:v>
      </x:c>
      <x:c r="L283" s="80" t="str">
        <x:v>O(V+E)</x:v>
      </x:c>
      <x:c r="M283" s="84" t="n">
        <x:v>0</x:v>
      </x:c>
      <x:c r="N283" s="86"/>
      <x:c r="O283" s="84"/>
      <x:c r="P283" s="86"/>
      <x:c r="Q283" s="80" t="str">
        <x:v>https://leetcode.com/problems/redundant-connection/</x:v>
      </x:c>
      <x:c r="R283" s="80" t="str"/>
      <x:c r="S283" s="84" t="n">
        <x:f>IF(AND(OR(H283="Solved",H283="Revised"),G283="New (counts toward 400)"),1,0)</x:f>
        <x:v>0</x:v>
      </x:c>
    </x:row>
    <x:row r="284" ht="48" customHeight="1">
      <x:c r="A284" s="84" t="n">
        <x:v>281</x:v>
      </x:c>
      <x:c r="B284" s="84" t="n">
        <x:v>323</x:v>
      </x:c>
      <x:c r="C284" s="80" t="str">
        <x:v>Number of Connected Components in an Undirected Graph</x:v>
      </x:c>
      <x:c r="D284" s="84" t="str">
        <x:v>Medium</x:v>
      </x:c>
      <x:c r="E284" s="84" t="str">
        <x:v>Graph / Union Find</x:v>
      </x:c>
      <x:c r="F284" s="84" t="str">
        <x:v>P2</x:v>
      </x:c>
      <x:c r="G284" s="84" t="str">
        <x:v>New (counts toward 400)</x:v>
      </x:c>
      <x:c r="H284" s="84" t="str">
        <x:v>Not Started</x:v>
      </x:c>
      <x:c r="I284" s="80" t="str">
        <x:v>Repeatedly search from many states or enumerate possible paths.</x:v>
      </x:c>
      <x:c r="J284" s="80" t="str">
        <x:v>Use adjacency lists and choose BFS/DFS, topological sort, DSU, or Dijkstra according to the graph property.</x:v>
      </x:c>
      <x:c r="K284" s="80" t="str">
        <x:v>O(V+E) for BFS/DFS; weighted variants differ</x:v>
      </x:c>
      <x:c r="L284" s="80" t="str">
        <x:v>O(V+E)</x:v>
      </x:c>
      <x:c r="M284" s="84" t="n">
        <x:v>0</x:v>
      </x:c>
      <x:c r="N284" s="86"/>
      <x:c r="O284" s="84"/>
      <x:c r="P284" s="86"/>
      <x:c r="Q284" s="80" t="str">
        <x:v>https://leetcode.com/problems/number-of-connected-components-in-an-undirected-graph/</x:v>
      </x:c>
      <x:c r="R284" s="80" t="str"/>
      <x:c r="S284" s="84" t="n">
        <x:f>IF(AND(OR(H284="Solved",H284="Revised"),G284="New (counts toward 400)"),1,0)</x:f>
        <x:v>0</x:v>
      </x:c>
    </x:row>
    <x:row r="285" ht="48" customHeight="1">
      <x:c r="A285" s="84" t="n">
        <x:v>282</x:v>
      </x:c>
      <x:c r="B285" s="84" t="n">
        <x:v>261</x:v>
      </x:c>
      <x:c r="C285" s="80" t="str">
        <x:v>Graph Valid Tree</x:v>
      </x:c>
      <x:c r="D285" s="84" t="str">
        <x:v>Medium</x:v>
      </x:c>
      <x:c r="E285" s="84" t="str">
        <x:v>Graph / Union Find / DFS</x:v>
      </x:c>
      <x:c r="F285" s="84" t="str">
        <x:v>P2</x:v>
      </x:c>
      <x:c r="G285" s="84" t="str">
        <x:v>New (counts toward 400)</x:v>
      </x:c>
      <x:c r="H285" s="84" t="str">
        <x:v>Not Started</x:v>
      </x:c>
      <x:c r="I285" s="80" t="str">
        <x:v>Repeatedly search from many states or enumerate possible paths.</x:v>
      </x:c>
      <x:c r="J285" s="80" t="str">
        <x:v>Use adjacency lists and choose BFS/DFS, topological sort, DSU, or Dijkstra according to the graph property.</x:v>
      </x:c>
      <x:c r="K285" s="80" t="str">
        <x:v>O(V+E) for BFS/DFS; weighted variants differ</x:v>
      </x:c>
      <x:c r="L285" s="80" t="str">
        <x:v>O(V+E)</x:v>
      </x:c>
      <x:c r="M285" s="84" t="n">
        <x:v>0</x:v>
      </x:c>
      <x:c r="N285" s="86"/>
      <x:c r="O285" s="84"/>
      <x:c r="P285" s="86"/>
      <x:c r="Q285" s="80" t="str">
        <x:v>https://leetcode.com/problems/graph-valid-tree/</x:v>
      </x:c>
      <x:c r="R285" s="80" t="str"/>
      <x:c r="S285" s="84" t="n">
        <x:f>IF(AND(OR(H285="Solved",H285="Revised"),G285="New (counts toward 400)"),1,0)</x:f>
        <x:v>0</x:v>
      </x:c>
    </x:row>
    <x:row r="286" ht="48" customHeight="1">
      <x:c r="A286" s="84" t="n">
        <x:v>283</x:v>
      </x:c>
      <x:c r="B286" s="84" t="n">
        <x:v>399</x:v>
      </x:c>
      <x:c r="C286" s="80" t="str">
        <x:v>Evaluate Division</x:v>
      </x:c>
      <x:c r="D286" s="84" t="str">
        <x:v>Medium</x:v>
      </x:c>
      <x:c r="E286" s="84" t="str">
        <x:v>Graph / DFS / BFS</x:v>
      </x:c>
      <x:c r="F286" s="84" t="str">
        <x:v>P2</x:v>
      </x:c>
      <x:c r="G286" s="84" t="str">
        <x:v>New (counts toward 400)</x:v>
      </x:c>
      <x:c r="H286" s="84" t="str">
        <x:v>Not Started</x:v>
      </x:c>
      <x:c r="I286" s="80" t="str">
        <x:v>Repeatedly search from many states or enumerate possible paths.</x:v>
      </x:c>
      <x:c r="J286" s="80" t="str">
        <x:v>Use adjacency lists and choose BFS/DFS, topological sort, DSU, or Dijkstra according to the graph property.</x:v>
      </x:c>
      <x:c r="K286" s="80" t="str">
        <x:v>O(V+E) for BFS/DFS; weighted variants differ</x:v>
      </x:c>
      <x:c r="L286" s="80" t="str">
        <x:v>O(V+E)</x:v>
      </x:c>
      <x:c r="M286" s="84" t="n">
        <x:v>0</x:v>
      </x:c>
      <x:c r="N286" s="86"/>
      <x:c r="O286" s="84"/>
      <x:c r="P286" s="86"/>
      <x:c r="Q286" s="80" t="str">
        <x:v>https://leetcode.com/problems/evaluate-division/</x:v>
      </x:c>
      <x:c r="R286" s="80" t="str"/>
      <x:c r="S286" s="84" t="n">
        <x:f>IF(AND(OR(H286="Solved",H286="Revised"),G286="New (counts toward 400)"),1,0)</x:f>
        <x:v>0</x:v>
      </x:c>
    </x:row>
    <x:row r="287" ht="48" customHeight="1">
      <x:c r="A287" s="84" t="n">
        <x:v>284</x:v>
      </x:c>
      <x:c r="B287" s="84" t="n">
        <x:v>743</x:v>
      </x:c>
      <x:c r="C287" s="80" t="str">
        <x:v>Network Delay Time</x:v>
      </x:c>
      <x:c r="D287" s="84" t="str">
        <x:v>Medium</x:v>
      </x:c>
      <x:c r="E287" s="84" t="str">
        <x:v>Graph / Dijkstra</x:v>
      </x:c>
      <x:c r="F287" s="84" t="str">
        <x:v>P1</x:v>
      </x:c>
      <x:c r="G287" s="84" t="str">
        <x:v>New (counts toward 400)</x:v>
      </x:c>
      <x:c r="H287" s="84" t="str">
        <x:v>Not Started</x:v>
      </x:c>
      <x:c r="I287" s="80" t="str">
        <x:v>Enumerate paths from the source or run repeated searches.</x:v>
      </x:c>
      <x:c r="J287" s="80" t="str">
        <x:v>Dijkstra with a min-heap for non-negative edge weights; take the maximum shortest distance.</x:v>
      </x:c>
      <x:c r="K287" s="80" t="str">
        <x:v>O((V+E) log V)</x:v>
      </x:c>
      <x:c r="L287" s="80" t="str">
        <x:v>O(V+E)</x:v>
      </x:c>
      <x:c r="M287" s="84" t="n">
        <x:v>0</x:v>
      </x:c>
      <x:c r="N287" s="86"/>
      <x:c r="O287" s="84"/>
      <x:c r="P287" s="86"/>
      <x:c r="Q287" s="80" t="str">
        <x:v>https://leetcode.com/problems/network-delay-time/</x:v>
      </x:c>
      <x:c r="R287" s="80" t="str"/>
      <x:c r="S287" s="84" t="n">
        <x:f>IF(AND(OR(H287="Solved",H287="Revised"),G287="New (counts toward 400)"),1,0)</x:f>
        <x:v>0</x:v>
      </x:c>
    </x:row>
    <x:row r="288" ht="48" customHeight="1">
      <x:c r="A288" s="84" t="n">
        <x:v>285</x:v>
      </x:c>
      <x:c r="B288" s="84" t="n">
        <x:v>787</x:v>
      </x:c>
      <x:c r="C288" s="80" t="str">
        <x:v>Cheapest Flights Within K Stops</x:v>
      </x:c>
      <x:c r="D288" s="84" t="str">
        <x:v>Medium</x:v>
      </x:c>
      <x:c r="E288" s="84" t="str">
        <x:v>Graph / Bellman-Ford / DP</x:v>
      </x:c>
      <x:c r="F288" s="84" t="str">
        <x:v>P1</x:v>
      </x:c>
      <x:c r="G288" s="84" t="str">
        <x:v>New (counts toward 400)</x:v>
      </x:c>
      <x:c r="H288" s="84" t="str">
        <x:v>Not Started</x:v>
      </x:c>
      <x:c r="I288" s="80" t="str">
        <x:v>Repeatedly search from many states or enumerate possible paths.</x:v>
      </x:c>
      <x:c r="J288" s="80" t="str">
        <x:v>Use adjacency lists and choose BFS/DFS, topological sort, DSU, or Dijkstra according to the graph property.</x:v>
      </x:c>
      <x:c r="K288" s="80" t="str">
        <x:v>O(V+E) for BFS/DFS; weighted variants differ</x:v>
      </x:c>
      <x:c r="L288" s="80" t="str">
        <x:v>O(V+E)</x:v>
      </x:c>
      <x:c r="M288" s="84" t="n">
        <x:v>0</x:v>
      </x:c>
      <x:c r="N288" s="86"/>
      <x:c r="O288" s="84"/>
      <x:c r="P288" s="86"/>
      <x:c r="Q288" s="80" t="str">
        <x:v>https://leetcode.com/problems/cheapest-flights-within-k-stops/</x:v>
      </x:c>
      <x:c r="R288" s="80" t="str"/>
      <x:c r="S288" s="84" t="n">
        <x:f>IF(AND(OR(H288="Solved",H288="Revised"),G288="New (counts toward 400)"),1,0)</x:f>
        <x:v>0</x:v>
      </x:c>
    </x:row>
    <x:row r="289" ht="48" customHeight="1">
      <x:c r="A289" s="84" t="n">
        <x:v>286</x:v>
      </x:c>
      <x:c r="B289" s="84" t="n">
        <x:v>1514</x:v>
      </x:c>
      <x:c r="C289" s="80" t="str">
        <x:v>Path with Maximum Probability</x:v>
      </x:c>
      <x:c r="D289" s="84" t="str">
        <x:v>Medium</x:v>
      </x:c>
      <x:c r="E289" s="84" t="str">
        <x:v>Graph / Dijkstra</x:v>
      </x:c>
      <x:c r="F289" s="84" t="str">
        <x:v>P2</x:v>
      </x:c>
      <x:c r="G289" s="84" t="str">
        <x:v>New (counts toward 400)</x:v>
      </x:c>
      <x:c r="H289" s="84" t="str">
        <x:v>Not Started</x:v>
      </x:c>
      <x:c r="I289" s="80" t="str">
        <x:v>Repeatedly search from many states or enumerate possible paths.</x:v>
      </x:c>
      <x:c r="J289" s="80" t="str">
        <x:v>Use adjacency lists and choose BFS/DFS, topological sort, DSU, or Dijkstra according to the graph property.</x:v>
      </x:c>
      <x:c r="K289" s="80" t="str">
        <x:v>O(V+E) for BFS/DFS; weighted variants differ</x:v>
      </x:c>
      <x:c r="L289" s="80" t="str">
        <x:v>O(V+E)</x:v>
      </x:c>
      <x:c r="M289" s="84" t="n">
        <x:v>0</x:v>
      </x:c>
      <x:c r="N289" s="86"/>
      <x:c r="O289" s="84"/>
      <x:c r="P289" s="86"/>
      <x:c r="Q289" s="80" t="str">
        <x:v>https://leetcode.com/problems/path-with-maximum-probability/</x:v>
      </x:c>
      <x:c r="R289" s="80" t="str"/>
      <x:c r="S289" s="84" t="n">
        <x:f>IF(AND(OR(H289="Solved",H289="Revised"),G289="New (counts toward 400)"),1,0)</x:f>
        <x:v>0</x:v>
      </x:c>
    </x:row>
    <x:row r="290" ht="48" customHeight="1">
      <x:c r="A290" s="84" t="n">
        <x:v>287</x:v>
      </x:c>
      <x:c r="B290" s="84" t="n">
        <x:v>1631</x:v>
      </x:c>
      <x:c r="C290" s="80" t="str">
        <x:v>Path With Minimum Effort</x:v>
      </x:c>
      <x:c r="D290" s="84" t="str">
        <x:v>Medium</x:v>
      </x:c>
      <x:c r="E290" s="84" t="str">
        <x:v>Graph / Dijkstra / Binary Search</x:v>
      </x:c>
      <x:c r="F290" s="84" t="str">
        <x:v>P2</x:v>
      </x:c>
      <x:c r="G290" s="84" t="str">
        <x:v>New (counts toward 400)</x:v>
      </x:c>
      <x:c r="H290" s="84" t="str">
        <x:v>Not Started</x:v>
      </x:c>
      <x:c r="I290" s="80" t="str">
        <x:v>Scan all candidates or test each possible answer.</x:v>
      </x:c>
      <x:c r="J290" s="80" t="str">
        <x:v>State the sorted/monotonic invariant and halve the interval; for answer search, define a feasibility check.</x:v>
      </x:c>
      <x:c r="K290" s="80" t="str">
        <x:v>O(log n) or O(n log range)</x:v>
      </x:c>
      <x:c r="L290" s="80" t="str">
        <x:v>O(1) extra</x:v>
      </x:c>
      <x:c r="M290" s="84" t="n">
        <x:v>0</x:v>
      </x:c>
      <x:c r="N290" s="86"/>
      <x:c r="O290" s="84"/>
      <x:c r="P290" s="86"/>
      <x:c r="Q290" s="80" t="str">
        <x:v>https://leetcode.com/problems/path-with-minimum-effort/</x:v>
      </x:c>
      <x:c r="R290" s="80" t="str"/>
      <x:c r="S290" s="84" t="n">
        <x:f>IF(AND(OR(H290="Solved",H290="Revised"),G290="New (counts toward 400)"),1,0)</x:f>
        <x:v>0</x:v>
      </x:c>
    </x:row>
    <x:row r="291" ht="48" customHeight="1">
      <x:c r="A291" s="84" t="n">
        <x:v>288</x:v>
      </x:c>
      <x:c r="B291" s="84" t="n">
        <x:v>778</x:v>
      </x:c>
      <x:c r="C291" s="80" t="str">
        <x:v>Swim in Rising Water</x:v>
      </x:c>
      <x:c r="D291" s="84" t="str">
        <x:v>Hard</x:v>
      </x:c>
      <x:c r="E291" s="84" t="str">
        <x:v>Graph / Dijkstra / Binary Search</x:v>
      </x:c>
      <x:c r="F291" s="84" t="str">
        <x:v>P2</x:v>
      </x:c>
      <x:c r="G291" s="84" t="str">
        <x:v>New (counts toward 400)</x:v>
      </x:c>
      <x:c r="H291" s="84" t="str">
        <x:v>Not Started</x:v>
      </x:c>
      <x:c r="I291" s="80" t="str">
        <x:v>Scan all candidates or test each possible answer.</x:v>
      </x:c>
      <x:c r="J291" s="80" t="str">
        <x:v>State the sorted/monotonic invariant and halve the interval; for answer search, define a feasibility check.</x:v>
      </x:c>
      <x:c r="K291" s="80" t="str">
        <x:v>O(log n) or O(n log range)</x:v>
      </x:c>
      <x:c r="L291" s="80" t="str">
        <x:v>O(1) extra</x:v>
      </x:c>
      <x:c r="M291" s="84" t="n">
        <x:v>0</x:v>
      </x:c>
      <x:c r="N291" s="86"/>
      <x:c r="O291" s="84"/>
      <x:c r="P291" s="86"/>
      <x:c r="Q291" s="80" t="str">
        <x:v>https://leetcode.com/problems/swim-in-rising-water/</x:v>
      </x:c>
      <x:c r="R291" s="80" t="str"/>
      <x:c r="S291" s="84" t="n">
        <x:f>IF(AND(OR(H291="Solved",H291="Revised"),G291="New (counts toward 400)"),1,0)</x:f>
        <x:v>0</x:v>
      </x:c>
    </x:row>
    <x:row r="292" ht="48" customHeight="1">
      <x:c r="A292" s="84" t="n">
        <x:v>289</x:v>
      </x:c>
      <x:c r="B292" s="84" t="n">
        <x:v>1584</x:v>
      </x:c>
      <x:c r="C292" s="80" t="str">
        <x:v>Min Cost to Connect All Points</x:v>
      </x:c>
      <x:c r="D292" s="84" t="str">
        <x:v>Medium</x:v>
      </x:c>
      <x:c r="E292" s="84" t="str">
        <x:v>Graph / MST</x:v>
      </x:c>
      <x:c r="F292" s="84" t="str">
        <x:v>P1</x:v>
      </x:c>
      <x:c r="G292" s="84" t="str">
        <x:v>New (counts toward 400)</x:v>
      </x:c>
      <x:c r="H292" s="84" t="str">
        <x:v>Not Started</x:v>
      </x:c>
      <x:c r="I292" s="80" t="str">
        <x:v>Repeatedly search from many states or enumerate possible paths.</x:v>
      </x:c>
      <x:c r="J292" s="80" t="str">
        <x:v>Use adjacency lists and choose BFS/DFS, topological sort, DSU, or Dijkstra according to the graph property.</x:v>
      </x:c>
      <x:c r="K292" s="80" t="str">
        <x:v>O(V+E) for BFS/DFS; weighted variants differ</x:v>
      </x:c>
      <x:c r="L292" s="80" t="str">
        <x:v>O(V+E)</x:v>
      </x:c>
      <x:c r="M292" s="84" t="n">
        <x:v>0</x:v>
      </x:c>
      <x:c r="N292" s="86"/>
      <x:c r="O292" s="84"/>
      <x:c r="P292" s="86"/>
      <x:c r="Q292" s="80" t="str">
        <x:v>https://leetcode.com/problems/min-cost-to-connect-all-points/</x:v>
      </x:c>
      <x:c r="R292" s="80" t="str"/>
      <x:c r="S292" s="84" t="n">
        <x:f>IF(AND(OR(H292="Solved",H292="Revised"),G292="New (counts toward 400)"),1,0)</x:f>
        <x:v>0</x:v>
      </x:c>
    </x:row>
    <x:row r="293" ht="48" customHeight="1">
      <x:c r="A293" s="84" t="n">
        <x:v>290</x:v>
      </x:c>
      <x:c r="B293" s="84" t="n">
        <x:v>1202</x:v>
      </x:c>
      <x:c r="C293" s="80" t="str">
        <x:v>Smallest String With Swaps</x:v>
      </x:c>
      <x:c r="D293" s="84" t="str">
        <x:v>Medium</x:v>
      </x:c>
      <x:c r="E293" s="84" t="str">
        <x:v>Graph / Union Find</x:v>
      </x:c>
      <x:c r="F293" s="84" t="str">
        <x:v>P2</x:v>
      </x:c>
      <x:c r="G293" s="84" t="str">
        <x:v>New (counts toward 400)</x:v>
      </x:c>
      <x:c r="H293" s="84" t="str">
        <x:v>Not Started</x:v>
      </x:c>
      <x:c r="I293" s="80" t="str">
        <x:v>Repeatedly search from many states or enumerate possible paths.</x:v>
      </x:c>
      <x:c r="J293" s="80" t="str">
        <x:v>Use adjacency lists and choose BFS/DFS, topological sort, DSU, or Dijkstra according to the graph property.</x:v>
      </x:c>
      <x:c r="K293" s="80" t="str">
        <x:v>O(V+E) for BFS/DFS; weighted variants differ</x:v>
      </x:c>
      <x:c r="L293" s="80" t="str">
        <x:v>O(V+E)</x:v>
      </x:c>
      <x:c r="M293" s="84" t="n">
        <x:v>0</x:v>
      </x:c>
      <x:c r="N293" s="86"/>
      <x:c r="O293" s="84"/>
      <x:c r="P293" s="86"/>
      <x:c r="Q293" s="80" t="str">
        <x:v>https://leetcode.com/problems/smallest-string-with-swaps/</x:v>
      </x:c>
      <x:c r="R293" s="80" t="str"/>
      <x:c r="S293" s="84" t="n">
        <x:f>IF(AND(OR(H293="Solved",H293="Revised"),G293="New (counts toward 400)"),1,0)</x:f>
        <x:v>0</x:v>
      </x:c>
    </x:row>
    <x:row r="294" ht="48" customHeight="1">
      <x:c r="A294" s="84" t="n">
        <x:v>291</x:v>
      </x:c>
      <x:c r="B294" s="84" t="n">
        <x:v>1192</x:v>
      </x:c>
      <x:c r="C294" s="80" t="str">
        <x:v>Critical Connections in a Network</x:v>
      </x:c>
      <x:c r="D294" s="84" t="str">
        <x:v>Hard</x:v>
      </x:c>
      <x:c r="E294" s="84" t="str">
        <x:v>Graph / Tarjan</x:v>
      </x:c>
      <x:c r="F294" s="84" t="str">
        <x:v>P2</x:v>
      </x:c>
      <x:c r="G294" s="84" t="str">
        <x:v>New (counts toward 400)</x:v>
      </x:c>
      <x:c r="H294" s="84" t="str">
        <x:v>Not Started</x:v>
      </x:c>
      <x:c r="I294" s="80" t="str">
        <x:v>Repeatedly search from many states or enumerate possible paths.</x:v>
      </x:c>
      <x:c r="J294" s="80" t="str">
        <x:v>Use adjacency lists and choose BFS/DFS, topological sort, DSU, or Dijkstra according to the graph property.</x:v>
      </x:c>
      <x:c r="K294" s="80" t="str">
        <x:v>O(V+E) for BFS/DFS; weighted variants differ</x:v>
      </x:c>
      <x:c r="L294" s="80" t="str">
        <x:v>O(V+E)</x:v>
      </x:c>
      <x:c r="M294" s="84" t="n">
        <x:v>0</x:v>
      </x:c>
      <x:c r="N294" s="86"/>
      <x:c r="O294" s="84"/>
      <x:c r="P294" s="86"/>
      <x:c r="Q294" s="80" t="str">
        <x:v>https://leetcode.com/problems/critical-connections-in-a-network/</x:v>
      </x:c>
      <x:c r="R294" s="80" t="str"/>
      <x:c r="S294" s="84" t="n">
        <x:f>IF(AND(OR(H294="Solved",H294="Revised"),G294="New (counts toward 400)"),1,0)</x:f>
        <x:v>0</x:v>
      </x:c>
    </x:row>
    <x:row r="295" ht="48" customHeight="1">
      <x:c r="A295" s="84" t="n">
        <x:v>292</x:v>
      </x:c>
      <x:c r="B295" s="84" t="n">
        <x:v>332</x:v>
      </x:c>
      <x:c r="C295" s="80" t="str">
        <x:v>Reconstruct Itinerary</x:v>
      </x:c>
      <x:c r="D295" s="84" t="str">
        <x:v>Hard</x:v>
      </x:c>
      <x:c r="E295" s="84" t="str">
        <x:v>Graph / Eulerian Path</x:v>
      </x:c>
      <x:c r="F295" s="84" t="str">
        <x:v>P3</x:v>
      </x:c>
      <x:c r="G295" s="84" t="str">
        <x:v>New (counts toward 400)</x:v>
      </x:c>
      <x:c r="H295" s="84" t="str">
        <x:v>Not Started</x:v>
      </x:c>
      <x:c r="I295" s="80" t="str">
        <x:v>Repeatedly search from many states or enumerate possible paths.</x:v>
      </x:c>
      <x:c r="J295" s="80" t="str">
        <x:v>Use adjacency lists and choose BFS/DFS, topological sort, DSU, or Dijkstra according to the graph property.</x:v>
      </x:c>
      <x:c r="K295" s="80" t="str">
        <x:v>O(V+E) for BFS/DFS; weighted variants differ</x:v>
      </x:c>
      <x:c r="L295" s="80" t="str">
        <x:v>O(V+E)</x:v>
      </x:c>
      <x:c r="M295" s="84" t="n">
        <x:v>0</x:v>
      </x:c>
      <x:c r="N295" s="86"/>
      <x:c r="O295" s="84"/>
      <x:c r="P295" s="86"/>
      <x:c r="Q295" s="80" t="str">
        <x:v>https://leetcode.com/problems/reconstruct-itinerary/</x:v>
      </x:c>
      <x:c r="R295" s="80" t="str"/>
      <x:c r="S295" s="84" t="n">
        <x:f>IF(AND(OR(H295="Solved",H295="Revised"),G295="New (counts toward 400)"),1,0)</x:f>
        <x:v>0</x:v>
      </x:c>
    </x:row>
    <x:row r="296" ht="48" customHeight="1">
      <x:c r="A296" s="84" t="n">
        <x:v>293</x:v>
      </x:c>
      <x:c r="B296" s="84" t="n">
        <x:v>310</x:v>
      </x:c>
      <x:c r="C296" s="80" t="str">
        <x:v>Minimum Height Trees</x:v>
      </x:c>
      <x:c r="D296" s="84" t="str">
        <x:v>Medium</x:v>
      </x:c>
      <x:c r="E296" s="84" t="str">
        <x:v>Graph / Topological Trimming</x:v>
      </x:c>
      <x:c r="F296" s="84" t="str">
        <x:v>P2</x:v>
      </x:c>
      <x:c r="G296" s="84" t="str">
        <x:v>New (counts toward 400)</x:v>
      </x:c>
      <x:c r="H296" s="84" t="str">
        <x:v>Not Started</x:v>
      </x:c>
      <x:c r="I296" s="80" t="str">
        <x:v>Repeatedly search from many states or enumerate possible paths.</x:v>
      </x:c>
      <x:c r="J296" s="80" t="str">
        <x:v>Use adjacency lists and choose BFS/DFS, topological sort, DSU, or Dijkstra according to the graph property.</x:v>
      </x:c>
      <x:c r="K296" s="80" t="str">
        <x:v>O(V+E) for BFS/DFS; weighted variants differ</x:v>
      </x:c>
      <x:c r="L296" s="80" t="str">
        <x:v>O(V+E)</x:v>
      </x:c>
      <x:c r="M296" s="84" t="n">
        <x:v>0</x:v>
      </x:c>
      <x:c r="N296" s="86"/>
      <x:c r="O296" s="84"/>
      <x:c r="P296" s="86"/>
      <x:c r="Q296" s="80" t="str">
        <x:v>https://leetcode.com/problems/minimum-height-trees/</x:v>
      </x:c>
      <x:c r="R296" s="80" t="str"/>
      <x:c r="S296" s="84" t="n">
        <x:f>IF(AND(OR(H296="Solved",H296="Revised"),G296="New (counts toward 400)"),1,0)</x:f>
        <x:v>0</x:v>
      </x:c>
    </x:row>
    <x:row r="297" ht="48" customHeight="1">
      <x:c r="A297" s="84" t="n">
        <x:v>294</x:v>
      </x:c>
      <x:c r="B297" s="84" t="n">
        <x:v>934</x:v>
      </x:c>
      <x:c r="C297" s="80" t="str">
        <x:v>Shortest Bridge</x:v>
      </x:c>
      <x:c r="D297" s="84" t="str">
        <x:v>Medium</x:v>
      </x:c>
      <x:c r="E297" s="84" t="str">
        <x:v>Graph / BFS / DFS</x:v>
      </x:c>
      <x:c r="F297" s="84" t="str">
        <x:v>P2</x:v>
      </x:c>
      <x:c r="G297" s="84" t="str">
        <x:v>New (counts toward 400)</x:v>
      </x:c>
      <x:c r="H297" s="84" t="str">
        <x:v>Not Started</x:v>
      </x:c>
      <x:c r="I297" s="80" t="str">
        <x:v>Repeatedly search from many states or enumerate possible paths.</x:v>
      </x:c>
      <x:c r="J297" s="80" t="str">
        <x:v>Use adjacency lists and choose BFS/DFS, topological sort, DSU, or Dijkstra according to the graph property.</x:v>
      </x:c>
      <x:c r="K297" s="80" t="str">
        <x:v>O(V+E) for BFS/DFS; weighted variants differ</x:v>
      </x:c>
      <x:c r="L297" s="80" t="str">
        <x:v>O(V+E)</x:v>
      </x:c>
      <x:c r="M297" s="84" t="n">
        <x:v>0</x:v>
      </x:c>
      <x:c r="N297" s="86"/>
      <x:c r="O297" s="84"/>
      <x:c r="P297" s="86"/>
      <x:c r="Q297" s="80" t="str">
        <x:v>https://leetcode.com/problems/shortest-bridge/</x:v>
      </x:c>
      <x:c r="R297" s="80" t="str"/>
      <x:c r="S297" s="84" t="n">
        <x:f>IF(AND(OR(H297="Solved",H297="Revised"),G297="New (counts toward 400)"),1,0)</x:f>
        <x:v>0</x:v>
      </x:c>
    </x:row>
    <x:row r="298" ht="48" customHeight="1">
      <x:c r="A298" s="84" t="n">
        <x:v>295</x:v>
      </x:c>
      <x:c r="B298" s="84" t="n">
        <x:v>752</x:v>
      </x:c>
      <x:c r="C298" s="80" t="str">
        <x:v>Open the Lock</x:v>
      </x:c>
      <x:c r="D298" s="84" t="str">
        <x:v>Medium</x:v>
      </x:c>
      <x:c r="E298" s="84" t="str">
        <x:v>Graph / BFS</x:v>
      </x:c>
      <x:c r="F298" s="84" t="str">
        <x:v>P2</x:v>
      </x:c>
      <x:c r="G298" s="84" t="str">
        <x:v>New (counts toward 400)</x:v>
      </x:c>
      <x:c r="H298" s="84" t="str">
        <x:v>Not Started</x:v>
      </x:c>
      <x:c r="I298" s="80" t="str">
        <x:v>Repeatedly search from many states or enumerate possible paths.</x:v>
      </x:c>
      <x:c r="J298" s="80" t="str">
        <x:v>Use adjacency lists and choose BFS/DFS, topological sort, DSU, or Dijkstra according to the graph property.</x:v>
      </x:c>
      <x:c r="K298" s="80" t="str">
        <x:v>O(V+E) for BFS/DFS; weighted variants differ</x:v>
      </x:c>
      <x:c r="L298" s="80" t="str">
        <x:v>O(V+E)</x:v>
      </x:c>
      <x:c r="M298" s="84" t="n">
        <x:v>0</x:v>
      </x:c>
      <x:c r="N298" s="86"/>
      <x:c r="O298" s="84"/>
      <x:c r="P298" s="86"/>
      <x:c r="Q298" s="80" t="str">
        <x:v>https://leetcode.com/problems/open-the-lock/</x:v>
      </x:c>
      <x:c r="R298" s="80" t="str"/>
      <x:c r="S298" s="84" t="n">
        <x:f>IF(AND(OR(H298="Solved",H298="Revised"),G298="New (counts toward 400)"),1,0)</x:f>
        <x:v>0</x:v>
      </x:c>
    </x:row>
    <x:row r="299" ht="48" customHeight="1">
      <x:c r="A299" s="84" t="n">
        <x:v>296</x:v>
      </x:c>
      <x:c r="B299" s="84" t="n">
        <x:v>815</x:v>
      </x:c>
      <x:c r="C299" s="80" t="str">
        <x:v>Bus Routes</x:v>
      </x:c>
      <x:c r="D299" s="84" t="str">
        <x:v>Hard</x:v>
      </x:c>
      <x:c r="E299" s="84" t="str">
        <x:v>Graph / BFS</x:v>
      </x:c>
      <x:c r="F299" s="84" t="str">
        <x:v>P2</x:v>
      </x:c>
      <x:c r="G299" s="84" t="str">
        <x:v>New (counts toward 400)</x:v>
      </x:c>
      <x:c r="H299" s="84" t="str">
        <x:v>Not Started</x:v>
      </x:c>
      <x:c r="I299" s="80" t="str">
        <x:v>Repeatedly search from many states or enumerate possible paths.</x:v>
      </x:c>
      <x:c r="J299" s="80" t="str">
        <x:v>Use adjacency lists and choose BFS/DFS, topological sort, DSU, or Dijkstra according to the graph property.</x:v>
      </x:c>
      <x:c r="K299" s="80" t="str">
        <x:v>O(V+E) for BFS/DFS; weighted variants differ</x:v>
      </x:c>
      <x:c r="L299" s="80" t="str">
        <x:v>O(V+E)</x:v>
      </x:c>
      <x:c r="M299" s="84" t="n">
        <x:v>0</x:v>
      </x:c>
      <x:c r="N299" s="86"/>
      <x:c r="O299" s="84"/>
      <x:c r="P299" s="86"/>
      <x:c r="Q299" s="80" t="str">
        <x:v>https://leetcode.com/problems/bus-routes/</x:v>
      </x:c>
      <x:c r="R299" s="80" t="str"/>
      <x:c r="S299" s="84" t="n">
        <x:f>IF(AND(OR(H299="Solved",H299="Revised"),G299="New (counts toward 400)"),1,0)</x:f>
        <x:v>0</x:v>
      </x:c>
    </x:row>
    <x:row r="300" ht="48" customHeight="1">
      <x:c r="A300" s="84" t="n">
        <x:v>297</x:v>
      </x:c>
      <x:c r="B300" s="84" t="n">
        <x:v>1293</x:v>
      </x:c>
      <x:c r="C300" s="80" t="str">
        <x:v>Shortest Path in a Grid with Obstacles Elimination</x:v>
      </x:c>
      <x:c r="D300" s="84" t="str">
        <x:v>Hard</x:v>
      </x:c>
      <x:c r="E300" s="84" t="str">
        <x:v>Graph / BFS State</x:v>
      </x:c>
      <x:c r="F300" s="84" t="str">
        <x:v>P2</x:v>
      </x:c>
      <x:c r="G300" s="84" t="str">
        <x:v>New (counts toward 400)</x:v>
      </x:c>
      <x:c r="H300" s="84" t="str">
        <x:v>Not Started</x:v>
      </x:c>
      <x:c r="I300" s="80" t="str">
        <x:v>Repeatedly search from many states or enumerate possible paths.</x:v>
      </x:c>
      <x:c r="J300" s="80" t="str">
        <x:v>Use adjacency lists and choose BFS/DFS, topological sort, DSU, or Dijkstra according to the graph property.</x:v>
      </x:c>
      <x:c r="K300" s="80" t="str">
        <x:v>O(V+E) for BFS/DFS; weighted variants differ</x:v>
      </x:c>
      <x:c r="L300" s="80" t="str">
        <x:v>O(V+E)</x:v>
      </x:c>
      <x:c r="M300" s="84" t="n">
        <x:v>0</x:v>
      </x:c>
      <x:c r="N300" s="86"/>
      <x:c r="O300" s="84"/>
      <x:c r="P300" s="86"/>
      <x:c r="Q300" s="80" t="str">
        <x:v>https://leetcode.com/problems/shortest-path-in-a-grid-with-obstacles-elimination/</x:v>
      </x:c>
      <x:c r="R300" s="80" t="str"/>
      <x:c r="S300" s="84" t="n">
        <x:f>IF(AND(OR(H300="Solved",H300="Revised"),G300="New (counts toward 400)"),1,0)</x:f>
        <x:v>0</x:v>
      </x:c>
    </x:row>
    <x:row r="301" ht="48" customHeight="1">
      <x:c r="A301" s="84" t="n">
        <x:v>298</x:v>
      </x:c>
      <x:c r="B301" s="84" t="n">
        <x:v>909</x:v>
      </x:c>
      <x:c r="C301" s="80" t="str">
        <x:v>Snakes and Ladders</x:v>
      </x:c>
      <x:c r="D301" s="84" t="str">
        <x:v>Medium</x:v>
      </x:c>
      <x:c r="E301" s="84" t="str">
        <x:v>Graph / BFS</x:v>
      </x:c>
      <x:c r="F301" s="84" t="str">
        <x:v>P2</x:v>
      </x:c>
      <x:c r="G301" s="84" t="str">
        <x:v>New (counts toward 400)</x:v>
      </x:c>
      <x:c r="H301" s="84" t="str">
        <x:v>Not Started</x:v>
      </x:c>
      <x:c r="I301" s="80" t="str">
        <x:v>Repeatedly search from many states or enumerate possible paths.</x:v>
      </x:c>
      <x:c r="J301" s="80" t="str">
        <x:v>Use adjacency lists and choose BFS/DFS, topological sort, DSU, or Dijkstra according to the graph property.</x:v>
      </x:c>
      <x:c r="K301" s="80" t="str">
        <x:v>O(V+E) for BFS/DFS; weighted variants differ</x:v>
      </x:c>
      <x:c r="L301" s="80" t="str">
        <x:v>O(V+E)</x:v>
      </x:c>
      <x:c r="M301" s="84" t="n">
        <x:v>0</x:v>
      </x:c>
      <x:c r="N301" s="86"/>
      <x:c r="O301" s="84"/>
      <x:c r="P301" s="86"/>
      <x:c r="Q301" s="80" t="str">
        <x:v>https://leetcode.com/problems/snakes-and-ladders/</x:v>
      </x:c>
      <x:c r="R301" s="80" t="str"/>
      <x:c r="S301" s="84" t="n">
        <x:f>IF(AND(OR(H301="Solved",H301="Revised"),G301="New (counts toward 400)"),1,0)</x:f>
        <x:v>0</x:v>
      </x:c>
    </x:row>
    <x:row r="302" ht="48" customHeight="1">
      <x:c r="A302" s="84" t="n">
        <x:v>299</x:v>
      </x:c>
      <x:c r="B302" s="84" t="n">
        <x:v>1129</x:v>
      </x:c>
      <x:c r="C302" s="80" t="str">
        <x:v>Shortest Path with Alternating Colors</x:v>
      </x:c>
      <x:c r="D302" s="84" t="str">
        <x:v>Medium</x:v>
      </x:c>
      <x:c r="E302" s="84" t="str">
        <x:v>Graph / BFS State</x:v>
      </x:c>
      <x:c r="F302" s="84" t="str">
        <x:v>P3</x:v>
      </x:c>
      <x:c r="G302" s="84" t="str">
        <x:v>New (counts toward 400)</x:v>
      </x:c>
      <x:c r="H302" s="84" t="str">
        <x:v>Not Started</x:v>
      </x:c>
      <x:c r="I302" s="80" t="str">
        <x:v>Repeatedly search from many states or enumerate possible paths.</x:v>
      </x:c>
      <x:c r="J302" s="80" t="str">
        <x:v>Use adjacency lists and choose BFS/DFS, topological sort, DSU, or Dijkstra according to the graph property.</x:v>
      </x:c>
      <x:c r="K302" s="80" t="str">
        <x:v>O(V+E) for BFS/DFS; weighted variants differ</x:v>
      </x:c>
      <x:c r="L302" s="80" t="str">
        <x:v>O(V+E)</x:v>
      </x:c>
      <x:c r="M302" s="84" t="n">
        <x:v>0</x:v>
      </x:c>
      <x:c r="N302" s="86"/>
      <x:c r="O302" s="84"/>
      <x:c r="P302" s="86"/>
      <x:c r="Q302" s="80" t="str">
        <x:v>https://leetcode.com/problems/shortest-path-with-alternating-colors/</x:v>
      </x:c>
      <x:c r="R302" s="80" t="str"/>
      <x:c r="S302" s="84" t="n">
        <x:f>IF(AND(OR(H302="Solved",H302="Revised"),G302="New (counts toward 400)"),1,0)</x:f>
        <x:v>0</x:v>
      </x:c>
    </x:row>
    <x:row r="303" ht="48" customHeight="1">
      <x:c r="A303" s="84" t="n">
        <x:v>300</x:v>
      </x:c>
      <x:c r="B303" s="84" t="n">
        <x:v>1466</x:v>
      </x:c>
      <x:c r="C303" s="80" t="str">
        <x:v>Reorder Routes to Make All Paths Lead to the City Zero</x:v>
      </x:c>
      <x:c r="D303" s="84" t="str">
        <x:v>Medium</x:v>
      </x:c>
      <x:c r="E303" s="84" t="str">
        <x:v>Graph / DFS / BFS</x:v>
      </x:c>
      <x:c r="F303" s="84" t="str">
        <x:v>P2</x:v>
      </x:c>
      <x:c r="G303" s="84" t="str">
        <x:v>New (counts toward 400)</x:v>
      </x:c>
      <x:c r="H303" s="84" t="str">
        <x:v>Not Started</x:v>
      </x:c>
      <x:c r="I303" s="80" t="str">
        <x:v>Repeatedly search from many states or enumerate possible paths.</x:v>
      </x:c>
      <x:c r="J303" s="80" t="str">
        <x:v>Use adjacency lists and choose BFS/DFS, topological sort, DSU, or Dijkstra according to the graph property.</x:v>
      </x:c>
      <x:c r="K303" s="80" t="str">
        <x:v>O(V+E) for BFS/DFS; weighted variants differ</x:v>
      </x:c>
      <x:c r="L303" s="80" t="str">
        <x:v>O(V+E)</x:v>
      </x:c>
      <x:c r="M303" s="84" t="n">
        <x:v>0</x:v>
      </x:c>
      <x:c r="N303" s="86"/>
      <x:c r="O303" s="84"/>
      <x:c r="P303" s="86"/>
      <x:c r="Q303" s="80" t="str">
        <x:v>https://leetcode.com/problems/reorder-routes-to-make-all-paths-lead-to-the-city-zero/</x:v>
      </x:c>
      <x:c r="R303" s="80" t="str"/>
      <x:c r="S303" s="84" t="n">
        <x:f>IF(AND(OR(H303="Solved",H303="Revised"),G303="New (counts toward 400)"),1,0)</x:f>
        <x:v>0</x:v>
      </x:c>
    </x:row>
    <x:row r="304" ht="48" customHeight="1">
      <x:c r="A304" s="84" t="n">
        <x:v>301</x:v>
      </x:c>
      <x:c r="B304" s="84" t="n">
        <x:v>1971</x:v>
      </x:c>
      <x:c r="C304" s="80" t="str">
        <x:v>Find if Path Exists in Graph</x:v>
      </x:c>
      <x:c r="D304" s="84" t="str">
        <x:v>Easy</x:v>
      </x:c>
      <x:c r="E304" s="84" t="str">
        <x:v>Graph / DFS / BFS / Union Find</x:v>
      </x:c>
      <x:c r="F304" s="84" t="str">
        <x:v>P2</x:v>
      </x:c>
      <x:c r="G304" s="84" t="str">
        <x:v>New (counts toward 400)</x:v>
      </x:c>
      <x:c r="H304" s="84" t="str">
        <x:v>Not Started</x:v>
      </x:c>
      <x:c r="I304" s="80" t="str">
        <x:v>Repeatedly search from many states or enumerate possible paths.</x:v>
      </x:c>
      <x:c r="J304" s="80" t="str">
        <x:v>Use adjacency lists and choose BFS/DFS, topological sort, DSU, or Dijkstra according to the graph property.</x:v>
      </x:c>
      <x:c r="K304" s="80" t="str">
        <x:v>O(V+E) for BFS/DFS; weighted variants differ</x:v>
      </x:c>
      <x:c r="L304" s="80" t="str">
        <x:v>O(V+E)</x:v>
      </x:c>
      <x:c r="M304" s="84" t="n">
        <x:v>0</x:v>
      </x:c>
      <x:c r="N304" s="86"/>
      <x:c r="O304" s="84"/>
      <x:c r="P304" s="86"/>
      <x:c r="Q304" s="80" t="str">
        <x:v>https://leetcode.com/problems/find-if-path-exists-in-graph/</x:v>
      </x:c>
      <x:c r="R304" s="80" t="str"/>
      <x:c r="S304" s="84" t="n">
        <x:f>IF(AND(OR(H304="Solved",H304="Revised"),G304="New (counts toward 400)"),1,0)</x:f>
        <x:v>0</x:v>
      </x:c>
    </x:row>
    <x:row r="305" ht="48" customHeight="1">
      <x:c r="A305" s="84" t="n">
        <x:v>302</x:v>
      </x:c>
      <x:c r="B305" s="84" t="n">
        <x:v>133</x:v>
      </x:c>
      <x:c r="C305" s="80" t="str">
        <x:v>Clone Graph</x:v>
      </x:c>
      <x:c r="D305" s="84" t="str">
        <x:v>Medium</x:v>
      </x:c>
      <x:c r="E305" s="84" t="str">
        <x:v>Graph / DFS / BFS / Hashing</x:v>
      </x:c>
      <x:c r="F305" s="84" t="str">
        <x:v>P1</x:v>
      </x:c>
      <x:c r="G305" s="84" t="str">
        <x:v>New (counts toward 400)</x:v>
      </x:c>
      <x:c r="H305" s="84" t="str">
        <x:v>Not Started</x:v>
      </x:c>
      <x:c r="I305" s="80" t="str">
        <x:v>Repeatedly search from many states or enumerate possible paths.</x:v>
      </x:c>
      <x:c r="J305" s="80" t="str">
        <x:v>Use adjacency lists and choose BFS/DFS, topological sort, DSU, or Dijkstra according to the graph property.</x:v>
      </x:c>
      <x:c r="K305" s="80" t="str">
        <x:v>O(V+E) for BFS/DFS; weighted variants differ</x:v>
      </x:c>
      <x:c r="L305" s="80" t="str">
        <x:v>O(V+E)</x:v>
      </x:c>
      <x:c r="M305" s="84" t="n">
        <x:v>0</x:v>
      </x:c>
      <x:c r="N305" s="86"/>
      <x:c r="O305" s="84"/>
      <x:c r="P305" s="86"/>
      <x:c r="Q305" s="80" t="str">
        <x:v>https://leetcode.com/problems/clone-graph/</x:v>
      </x:c>
      <x:c r="R305" s="80" t="str"/>
      <x:c r="S305" s="84" t="n">
        <x:f>IF(AND(OR(H305="Solved",H305="Revised"),G305="New (counts toward 400)"),1,0)</x:f>
        <x:v>0</x:v>
      </x:c>
    </x:row>
    <x:row r="306" ht="48" customHeight="1">
      <x:c r="A306" s="84" t="n">
        <x:v>303</x:v>
      </x:c>
      <x:c r="B306" s="84" t="n">
        <x:v>70</x:v>
      </x:c>
      <x:c r="C306" s="80" t="str">
        <x:v>Climbing Stairs</x:v>
      </x:c>
      <x:c r="D306" s="84" t="str">
        <x:v>Easy</x:v>
      </x:c>
      <x:c r="E306" s="84" t="str">
        <x:v>DP / 1D</x:v>
      </x:c>
      <x:c r="F306" s="84" t="str">
        <x:v>P1</x:v>
      </x:c>
      <x:c r="G306" s="84" t="str">
        <x:v>New (counts toward 400)</x:v>
      </x:c>
      <x:c r="H306" s="84" t="str">
        <x:v>Not Started</x:v>
      </x:c>
      <x:c r="I306" s="80" t="str">
        <x:v>Enumerate candidates directly and compare them with the requirements.</x:v>
      </x:c>
      <x:c r="J306" s="80" t="str">
        <x:v>Identify the invariant/state, and avoid recomputing information already established.</x:v>
      </x:c>
      <x:c r="K306" s="80" t="str">
        <x:v>Pattern-dependent</x:v>
      </x:c>
      <x:c r="L306" s="80" t="str">
        <x:v>Pattern-dependent</x:v>
      </x:c>
      <x:c r="M306" s="84" t="n">
        <x:v>0</x:v>
      </x:c>
      <x:c r="N306" s="86"/>
      <x:c r="O306" s="84"/>
      <x:c r="P306" s="86"/>
      <x:c r="Q306" s="80" t="str">
        <x:v>https://leetcode.com/problems/climbing-stairs/</x:v>
      </x:c>
      <x:c r="R306" s="80" t="str"/>
      <x:c r="S306" s="84" t="n">
        <x:f>IF(AND(OR(H306="Solved",H306="Revised"),G306="New (counts toward 400)"),1,0)</x:f>
        <x:v>0</x:v>
      </x:c>
    </x:row>
    <x:row r="307" ht="48" customHeight="1">
      <x:c r="A307" s="84" t="n">
        <x:v>304</x:v>
      </x:c>
      <x:c r="B307" s="84" t="n">
        <x:v>746</x:v>
      </x:c>
      <x:c r="C307" s="80" t="str">
        <x:v>Min Cost Climbing Stairs</x:v>
      </x:c>
      <x:c r="D307" s="84" t="str">
        <x:v>Easy</x:v>
      </x:c>
      <x:c r="E307" s="84" t="str">
        <x:v>DP / 1D</x:v>
      </x:c>
      <x:c r="F307" s="84" t="str">
        <x:v>P1</x:v>
      </x:c>
      <x:c r="G307" s="84" t="str">
        <x:v>New (counts toward 400)</x:v>
      </x:c>
      <x:c r="H307" s="84" t="str">
        <x:v>Not Started</x:v>
      </x:c>
      <x:c r="I307" s="80" t="str">
        <x:v>Enumerate candidates directly and compare them with the requirements.</x:v>
      </x:c>
      <x:c r="J307" s="80" t="str">
        <x:v>Identify the invariant/state, and avoid recomputing information already established.</x:v>
      </x:c>
      <x:c r="K307" s="80" t="str">
        <x:v>Pattern-dependent</x:v>
      </x:c>
      <x:c r="L307" s="80" t="str">
        <x:v>Pattern-dependent</x:v>
      </x:c>
      <x:c r="M307" s="84" t="n">
        <x:v>0</x:v>
      </x:c>
      <x:c r="N307" s="86"/>
      <x:c r="O307" s="84"/>
      <x:c r="P307" s="86"/>
      <x:c r="Q307" s="80" t="str">
        <x:v>https://leetcode.com/problems/min-cost-climbing-stairs/</x:v>
      </x:c>
      <x:c r="R307" s="80" t="str"/>
      <x:c r="S307" s="84" t="n">
        <x:f>IF(AND(OR(H307="Solved",H307="Revised"),G307="New (counts toward 400)"),1,0)</x:f>
        <x:v>0</x:v>
      </x:c>
    </x:row>
    <x:row r="308" ht="48" customHeight="1">
      <x:c r="A308" s="84" t="n">
        <x:v>305</x:v>
      </x:c>
      <x:c r="B308" s="84" t="n">
        <x:v>198</x:v>
      </x:c>
      <x:c r="C308" s="80" t="str">
        <x:v>House Robber</x:v>
      </x:c>
      <x:c r="D308" s="84" t="str">
        <x:v>Medium</x:v>
      </x:c>
      <x:c r="E308" s="84" t="str">
        <x:v>DP / 1D</x:v>
      </x:c>
      <x:c r="F308" s="84" t="str">
        <x:v>P1</x:v>
      </x:c>
      <x:c r="G308" s="84" t="str">
        <x:v>New (counts toward 400)</x:v>
      </x:c>
      <x:c r="H308" s="84" t="str">
        <x:v>Not Started</x:v>
      </x:c>
      <x:c r="I308" s="80" t="str">
        <x:v>Enumerate candidates directly and compare them with the requirements.</x:v>
      </x:c>
      <x:c r="J308" s="80" t="str">
        <x:v>Identify the invariant/state, and avoid recomputing information already established.</x:v>
      </x:c>
      <x:c r="K308" s="80" t="str">
        <x:v>Pattern-dependent</x:v>
      </x:c>
      <x:c r="L308" s="80" t="str">
        <x:v>Pattern-dependent</x:v>
      </x:c>
      <x:c r="M308" s="84" t="n">
        <x:v>0</x:v>
      </x:c>
      <x:c r="N308" s="86"/>
      <x:c r="O308" s="84"/>
      <x:c r="P308" s="86"/>
      <x:c r="Q308" s="80" t="str">
        <x:v>https://leetcode.com/problems/house-robber/</x:v>
      </x:c>
      <x:c r="R308" s="80" t="str"/>
      <x:c r="S308" s="84" t="n">
        <x:f>IF(AND(OR(H308="Solved",H308="Revised"),G308="New (counts toward 400)"),1,0)</x:f>
        <x:v>0</x:v>
      </x:c>
    </x:row>
    <x:row r="309" ht="48" customHeight="1">
      <x:c r="A309" s="84" t="n">
        <x:v>306</x:v>
      </x:c>
      <x:c r="B309" s="84" t="n">
        <x:v>213</x:v>
      </x:c>
      <x:c r="C309" s="80" t="str">
        <x:v>House Robber II</x:v>
      </x:c>
      <x:c r="D309" s="84" t="str">
        <x:v>Medium</x:v>
      </x:c>
      <x:c r="E309" s="84" t="str">
        <x:v>DP / 1D</x:v>
      </x:c>
      <x:c r="F309" s="84" t="str">
        <x:v>P2</x:v>
      </x:c>
      <x:c r="G309" s="84" t="str">
        <x:v>New (counts toward 400)</x:v>
      </x:c>
      <x:c r="H309" s="84" t="str">
        <x:v>Not Started</x:v>
      </x:c>
      <x:c r="I309" s="80" t="str">
        <x:v>Enumerate candidates directly and compare them with the requirements.</x:v>
      </x:c>
      <x:c r="J309" s="80" t="str">
        <x:v>Identify the invariant/state, and avoid recomputing information already established.</x:v>
      </x:c>
      <x:c r="K309" s="80" t="str">
        <x:v>Pattern-dependent</x:v>
      </x:c>
      <x:c r="L309" s="80" t="str">
        <x:v>Pattern-dependent</x:v>
      </x:c>
      <x:c r="M309" s="84" t="n">
        <x:v>0</x:v>
      </x:c>
      <x:c r="N309" s="86"/>
      <x:c r="O309" s="84"/>
      <x:c r="P309" s="86"/>
      <x:c r="Q309" s="80" t="str">
        <x:v>https://leetcode.com/problems/house-robber-ii/</x:v>
      </x:c>
      <x:c r="R309" s="80" t="str"/>
      <x:c r="S309" s="84" t="n">
        <x:f>IF(AND(OR(H309="Solved",H309="Revised"),G309="New (counts toward 400)"),1,0)</x:f>
        <x:v>0</x:v>
      </x:c>
    </x:row>
    <x:row r="310" ht="48" customHeight="1">
      <x:c r="A310" s="84" t="n">
        <x:v>307</x:v>
      </x:c>
      <x:c r="B310" s="84" t="n">
        <x:v>300</x:v>
      </x:c>
      <x:c r="C310" s="80" t="str">
        <x:v>Longest Increasing Subsequence</x:v>
      </x:c>
      <x:c r="D310" s="84" t="str">
        <x:v>Medium</x:v>
      </x:c>
      <x:c r="E310" s="84" t="str">
        <x:v>DP / Binary Search</x:v>
      </x:c>
      <x:c r="F310" s="84" t="str">
        <x:v>P1</x:v>
      </x:c>
      <x:c r="G310" s="84" t="str">
        <x:v>New (counts toward 400)</x:v>
      </x:c>
      <x:c r="H310" s="84" t="str">
        <x:v>Not Started</x:v>
      </x:c>
      <x:c r="I310" s="80" t="str">
        <x:v>Enumerate every subsequence (O(2ⁿ)).</x:v>
      </x:c>
      <x:c r="J310" s="80" t="str">
        <x:v>Maintain the smallest tail for each subsequence length with lower_bound.</x:v>
      </x:c>
      <x:c r="K310" s="80" t="str">
        <x:v>O(n log n)</x:v>
      </x:c>
      <x:c r="L310" s="80" t="str">
        <x:v>O(n)</x:v>
      </x:c>
      <x:c r="M310" s="84" t="n">
        <x:v>0</x:v>
      </x:c>
      <x:c r="N310" s="86"/>
      <x:c r="O310" s="84"/>
      <x:c r="P310" s="86"/>
      <x:c r="Q310" s="80" t="str">
        <x:v>https://leetcode.com/problems/longest-increasing-subsequence/</x:v>
      </x:c>
      <x:c r="R310" s="80" t="str"/>
      <x:c r="S310" s="84" t="n">
        <x:f>IF(AND(OR(H310="Solved",H310="Revised"),G310="New (counts toward 400)"),1,0)</x:f>
        <x:v>0</x:v>
      </x:c>
    </x:row>
    <x:row r="311" ht="48" customHeight="1">
      <x:c r="A311" s="84" t="n">
        <x:v>308</x:v>
      </x:c>
      <x:c r="B311" s="84" t="n">
        <x:v>673</x:v>
      </x:c>
      <x:c r="C311" s="80" t="str">
        <x:v>Number of Longest Increasing Subsequence</x:v>
      </x:c>
      <x:c r="D311" s="84" t="str">
        <x:v>Medium</x:v>
      </x:c>
      <x:c r="E311" s="84" t="str">
        <x:v>DP / Counting</x:v>
      </x:c>
      <x:c r="F311" s="84" t="str">
        <x:v>P3</x:v>
      </x:c>
      <x:c r="G311" s="84" t="str">
        <x:v>New (counts toward 400)</x:v>
      </x:c>
      <x:c r="H311" s="84" t="str">
        <x:v>Not Started</x:v>
      </x:c>
      <x:c r="I311" s="80" t="str">
        <x:v>Enumerate candidates directly and compare them with the requirements.</x:v>
      </x:c>
      <x:c r="J311" s="80" t="str">
        <x:v>Identify the invariant/state, and avoid recomputing information already established.</x:v>
      </x:c>
      <x:c r="K311" s="80" t="str">
        <x:v>Pattern-dependent</x:v>
      </x:c>
      <x:c r="L311" s="80" t="str">
        <x:v>Pattern-dependent</x:v>
      </x:c>
      <x:c r="M311" s="84" t="n">
        <x:v>0</x:v>
      </x:c>
      <x:c r="N311" s="86"/>
      <x:c r="O311" s="84"/>
      <x:c r="P311" s="86"/>
      <x:c r="Q311" s="80" t="str">
        <x:v>https://leetcode.com/problems/number-of-longest-increasing-subsequence/</x:v>
      </x:c>
      <x:c r="R311" s="80" t="str"/>
      <x:c r="S311" s="84" t="n">
        <x:f>IF(AND(OR(H311="Solved",H311="Revised"),G311="New (counts toward 400)"),1,0)</x:f>
        <x:v>0</x:v>
      </x:c>
    </x:row>
    <x:row r="312" ht="48" customHeight="1">
      <x:c r="A312" s="84" t="n">
        <x:v>309</x:v>
      </x:c>
      <x:c r="B312" s="84" t="n">
        <x:v>1143</x:v>
      </x:c>
      <x:c r="C312" s="80" t="str">
        <x:v>Longest Common Subsequence</x:v>
      </x:c>
      <x:c r="D312" s="84" t="str">
        <x:v>Medium</x:v>
      </x:c>
      <x:c r="E312" s="84" t="str">
        <x:v>DP / 2D Strings</x:v>
      </x:c>
      <x:c r="F312" s="84" t="str">
        <x:v>P1</x:v>
      </x:c>
      <x:c r="G312" s="84" t="str">
        <x:v>New (counts toward 400)</x:v>
      </x:c>
      <x:c r="H312" s="84" t="str">
        <x:v>Not Started</x:v>
      </x:c>
      <x:c r="I312" s="80" t="str">
        <x:v>Enumerate subsequences and test whether they occur in both strings.</x:v>
      </x:c>
      <x:c r="J312" s="80" t="str">
        <x:v>2D DP over prefixes: match uses diagonal+1; mismatch takes max of skipping one character.</x:v>
      </x:c>
      <x:c r="K312" s="80" t="str">
        <x:v>O(mn)</x:v>
      </x:c>
      <x:c r="L312" s="80" t="str">
        <x:v>O(mn), reducible to O(min(m,n))</x:v>
      </x:c>
      <x:c r="M312" s="84" t="n">
        <x:v>0</x:v>
      </x:c>
      <x:c r="N312" s="86"/>
      <x:c r="O312" s="84"/>
      <x:c r="P312" s="86"/>
      <x:c r="Q312" s="80" t="str">
        <x:v>https://leetcode.com/problems/longest-common-subsequence/</x:v>
      </x:c>
      <x:c r="R312" s="80" t="str"/>
      <x:c r="S312" s="84" t="n">
        <x:f>IF(AND(OR(H312="Solved",H312="Revised"),G312="New (counts toward 400)"),1,0)</x:f>
        <x:v>0</x:v>
      </x:c>
    </x:row>
    <x:row r="313" ht="48" customHeight="1">
      <x:c r="A313" s="84" t="n">
        <x:v>310</x:v>
      </x:c>
      <x:c r="B313" s="84" t="n">
        <x:v>72</x:v>
      </x:c>
      <x:c r="C313" s="80" t="str">
        <x:v>Edit Distance</x:v>
      </x:c>
      <x:c r="D313" s="84" t="str">
        <x:v>Medium</x:v>
      </x:c>
      <x:c r="E313" s="84" t="str">
        <x:v>DP / 2D Strings</x:v>
      </x:c>
      <x:c r="F313" s="84" t="str">
        <x:v>P1</x:v>
      </x:c>
      <x:c r="G313" s="84" t="str">
        <x:v>New (counts toward 400)</x:v>
      </x:c>
      <x:c r="H313" s="84" t="str">
        <x:v>Not Started</x:v>
      </x:c>
      <x:c r="I313" s="80" t="str">
        <x:v>Compare candidate substrings or repeatedly scan the input to determine the answer.</x:v>
      </x:c>
      <x:c r="J313" s="80" t="str">
        <x:v>Use character counts, a stack, two pointers, or a string-matching invariant suited to the operation.</x:v>
      </x:c>
      <x:c r="K313" s="80" t="str">
        <x:v>O(n) to O(n log n)</x:v>
      </x:c>
      <x:c r="L313" s="80" t="str">
        <x:v>O(n)</x:v>
      </x:c>
      <x:c r="M313" s="84" t="n">
        <x:v>0</x:v>
      </x:c>
      <x:c r="N313" s="86"/>
      <x:c r="O313" s="84"/>
      <x:c r="P313" s="86"/>
      <x:c r="Q313" s="80" t="str">
        <x:v>https://leetcode.com/problems/edit-distance/</x:v>
      </x:c>
      <x:c r="R313" s="80" t="str"/>
      <x:c r="S313" s="84" t="n">
        <x:f>IF(AND(OR(H313="Solved",H313="Revised"),G313="New (counts toward 400)"),1,0)</x:f>
        <x:v>0</x:v>
      </x:c>
    </x:row>
    <x:row r="314" ht="48" customHeight="1">
      <x:c r="A314" s="84" t="n">
        <x:v>311</x:v>
      </x:c>
      <x:c r="B314" s="84" t="n">
        <x:v>97</x:v>
      </x:c>
      <x:c r="C314" s="80" t="str">
        <x:v>Interleaving String</x:v>
      </x:c>
      <x:c r="D314" s="84" t="str">
        <x:v>Medium</x:v>
      </x:c>
      <x:c r="E314" s="84" t="str">
        <x:v>DP / 2D Strings</x:v>
      </x:c>
      <x:c r="F314" s="84" t="str">
        <x:v>P2</x:v>
      </x:c>
      <x:c r="G314" s="84" t="str">
        <x:v>New (counts toward 400)</x:v>
      </x:c>
      <x:c r="H314" s="84" t="str">
        <x:v>Not Started</x:v>
      </x:c>
      <x:c r="I314" s="80" t="str">
        <x:v>Compare candidate substrings or repeatedly scan the input to determine the answer.</x:v>
      </x:c>
      <x:c r="J314" s="80" t="str">
        <x:v>Use character counts, a stack, two pointers, or a string-matching invariant suited to the operation.</x:v>
      </x:c>
      <x:c r="K314" s="80" t="str">
        <x:v>O(n) to O(n log n)</x:v>
      </x:c>
      <x:c r="L314" s="80" t="str">
        <x:v>O(n)</x:v>
      </x:c>
      <x:c r="M314" s="84" t="n">
        <x:v>0</x:v>
      </x:c>
      <x:c r="N314" s="86"/>
      <x:c r="O314" s="84"/>
      <x:c r="P314" s="86"/>
      <x:c r="Q314" s="80" t="str">
        <x:v>https://leetcode.com/problems/interleaving-string/</x:v>
      </x:c>
      <x:c r="R314" s="80" t="str"/>
      <x:c r="S314" s="84" t="n">
        <x:f>IF(AND(OR(H314="Solved",H314="Revised"),G314="New (counts toward 400)"),1,0)</x:f>
        <x:v>0</x:v>
      </x:c>
    </x:row>
    <x:row r="315" ht="48" customHeight="1">
      <x:c r="A315" s="84" t="n">
        <x:v>312</x:v>
      </x:c>
      <x:c r="B315" s="84" t="n">
        <x:v>115</x:v>
      </x:c>
      <x:c r="C315" s="80" t="str">
        <x:v>Distinct Subsequences</x:v>
      </x:c>
      <x:c r="D315" s="84" t="str">
        <x:v>Hard</x:v>
      </x:c>
      <x:c r="E315" s="84" t="str">
        <x:v>DP / 2D Strings</x:v>
      </x:c>
      <x:c r="F315" s="84" t="str">
        <x:v>P2</x:v>
      </x:c>
      <x:c r="G315" s="84" t="str">
        <x:v>New (counts toward 400)</x:v>
      </x:c>
      <x:c r="H315" s="84" t="str">
        <x:v>Not Started</x:v>
      </x:c>
      <x:c r="I315" s="80" t="str">
        <x:v>Compare candidate substrings or repeatedly scan the input to determine the answer.</x:v>
      </x:c>
      <x:c r="J315" s="80" t="str">
        <x:v>Use character counts, a stack, two pointers, or a string-matching invariant suited to the operation.</x:v>
      </x:c>
      <x:c r="K315" s="80" t="str">
        <x:v>O(n) to O(n log n)</x:v>
      </x:c>
      <x:c r="L315" s="80" t="str">
        <x:v>O(n)</x:v>
      </x:c>
      <x:c r="M315" s="84" t="n">
        <x:v>0</x:v>
      </x:c>
      <x:c r="N315" s="86"/>
      <x:c r="O315" s="84"/>
      <x:c r="P315" s="86"/>
      <x:c r="Q315" s="80" t="str">
        <x:v>https://leetcode.com/problems/distinct-subsequences/</x:v>
      </x:c>
      <x:c r="R315" s="80" t="str"/>
      <x:c r="S315" s="84" t="n">
        <x:f>IF(AND(OR(H315="Solved",H315="Revised"),G315="New (counts toward 400)"),1,0)</x:f>
        <x:v>0</x:v>
      </x:c>
    </x:row>
    <x:row r="316" ht="48" customHeight="1">
      <x:c r="A316" s="84" t="n">
        <x:v>313</x:v>
      </x:c>
      <x:c r="B316" s="84" t="n">
        <x:v>583</x:v>
      </x:c>
      <x:c r="C316" s="80" t="str">
        <x:v>Delete Operation for Two Strings</x:v>
      </x:c>
      <x:c r="D316" s="84" t="str">
        <x:v>Medium</x:v>
      </x:c>
      <x:c r="E316" s="84" t="str">
        <x:v>DP / 2D Strings</x:v>
      </x:c>
      <x:c r="F316" s="84" t="str">
        <x:v>P2</x:v>
      </x:c>
      <x:c r="G316" s="84" t="str">
        <x:v>New (counts toward 400)</x:v>
      </x:c>
      <x:c r="H316" s="84" t="str">
        <x:v>Not Started</x:v>
      </x:c>
      <x:c r="I316" s="80" t="str">
        <x:v>Compare candidate substrings or repeatedly scan the input to determine the answer.</x:v>
      </x:c>
      <x:c r="J316" s="80" t="str">
        <x:v>Use character counts, a stack, two pointers, or a string-matching invariant suited to the operation.</x:v>
      </x:c>
      <x:c r="K316" s="80" t="str">
        <x:v>O(n) to O(n log n)</x:v>
      </x:c>
      <x:c r="L316" s="80" t="str">
        <x:v>O(n)</x:v>
      </x:c>
      <x:c r="M316" s="84" t="n">
        <x:v>0</x:v>
      </x:c>
      <x:c r="N316" s="86"/>
      <x:c r="O316" s="84"/>
      <x:c r="P316" s="86"/>
      <x:c r="Q316" s="80" t="str">
        <x:v>https://leetcode.com/problems/delete-operation-for-two-strings/</x:v>
      </x:c>
      <x:c r="R316" s="80" t="str"/>
      <x:c r="S316" s="84" t="n">
        <x:f>IF(AND(OR(H316="Solved",H316="Revised"),G316="New (counts toward 400)"),1,0)</x:f>
        <x:v>0</x:v>
      </x:c>
    </x:row>
    <x:row r="317" ht="48" customHeight="1">
      <x:c r="A317" s="84" t="n">
        <x:v>314</x:v>
      </x:c>
      <x:c r="B317" s="84" t="n">
        <x:v>516</x:v>
      </x:c>
      <x:c r="C317" s="80" t="str">
        <x:v>Longest Palindromic Subsequence</x:v>
      </x:c>
      <x:c r="D317" s="84" t="str">
        <x:v>Medium</x:v>
      </x:c>
      <x:c r="E317" s="84" t="str">
        <x:v>DP / Interval</x:v>
      </x:c>
      <x:c r="F317" s="84" t="str">
        <x:v>P2</x:v>
      </x:c>
      <x:c r="G317" s="84" t="str">
        <x:v>New (counts toward 400)</x:v>
      </x:c>
      <x:c r="H317" s="84" t="str">
        <x:v>Not Started</x:v>
      </x:c>
      <x:c r="I317" s="80" t="str">
        <x:v>Try multiple selection/order choices or compare each interval with every other interval.</x:v>
      </x:c>
      <x:c r="J317" s="80" t="str">
        <x:v>Sort by the key that exposes feasibility (often start/end), then prove the greedy choice with an invariant.</x:v>
      </x:c>
      <x:c r="K317" s="80" t="str">
        <x:v>O(n log n)</x:v>
      </x:c>
      <x:c r="L317" s="80" t="str">
        <x:v>O(n) output or O(1) extra</x:v>
      </x:c>
      <x:c r="M317" s="84" t="n">
        <x:v>0</x:v>
      </x:c>
      <x:c r="N317" s="86"/>
      <x:c r="O317" s="84"/>
      <x:c r="P317" s="86"/>
      <x:c r="Q317" s="80" t="str">
        <x:v>https://leetcode.com/problems/longest-palindromic-subsequence/</x:v>
      </x:c>
      <x:c r="R317" s="80" t="str"/>
      <x:c r="S317" s="84" t="n">
        <x:f>IF(AND(OR(H317="Solved",H317="Revised"),G317="New (counts toward 400)"),1,0)</x:f>
        <x:v>0</x:v>
      </x:c>
    </x:row>
    <x:row r="318" ht="48" customHeight="1">
      <x:c r="A318" s="84" t="n">
        <x:v>315</x:v>
      </x:c>
      <x:c r="B318" s="84" t="n">
        <x:v>139</x:v>
      </x:c>
      <x:c r="C318" s="80" t="str">
        <x:v>Word Break</x:v>
      </x:c>
      <x:c r="D318" s="84" t="str">
        <x:v>Medium</x:v>
      </x:c>
      <x:c r="E318" s="84" t="str">
        <x:v>DP / Strings</x:v>
      </x:c>
      <x:c r="F318" s="84" t="str">
        <x:v>P1</x:v>
      </x:c>
      <x:c r="G318" s="84" t="str">
        <x:v>New (counts toward 400)</x:v>
      </x:c>
      <x:c r="H318" s="84" t="str">
        <x:v>Not Started</x:v>
      </x:c>
      <x:c r="I318" s="80" t="str">
        <x:v>Try all possible string splits recursively.</x:v>
      </x:c>
      <x:c r="J318" s="80" t="str">
        <x:v>Memoized DFS or DP over indices; transition only when a substring is in the dictionary.</x:v>
      </x:c>
      <x:c r="K318" s="80" t="str">
        <x:v>O(n²) typical</x:v>
      </x:c>
      <x:c r="L318" s="80" t="str">
        <x:v>O(n) DP plus dictionary</x:v>
      </x:c>
      <x:c r="M318" s="84" t="n">
        <x:v>0</x:v>
      </x:c>
      <x:c r="N318" s="86"/>
      <x:c r="O318" s="84"/>
      <x:c r="P318" s="86"/>
      <x:c r="Q318" s="80" t="str">
        <x:v>https://leetcode.com/problems/word-break/</x:v>
      </x:c>
      <x:c r="R318" s="80" t="str"/>
      <x:c r="S318" s="84" t="n">
        <x:f>IF(AND(OR(H318="Solved",H318="Revised"),G318="New (counts toward 400)"),1,0)</x:f>
        <x:v>0</x:v>
      </x:c>
    </x:row>
    <x:row r="319" ht="48" customHeight="1">
      <x:c r="A319" s="84" t="n">
        <x:v>316</x:v>
      </x:c>
      <x:c r="B319" s="84" t="n">
        <x:v>322</x:v>
      </x:c>
      <x:c r="C319" s="80" t="str">
        <x:v>Coin Change</x:v>
      </x:c>
      <x:c r="D319" s="84" t="str">
        <x:v>Medium</x:v>
      </x:c>
      <x:c r="E319" s="84" t="str">
        <x:v>DP / 1D</x:v>
      </x:c>
      <x:c r="F319" s="84" t="str">
        <x:v>P1</x:v>
      </x:c>
      <x:c r="G319" s="84" t="str">
        <x:v>New (counts toward 400)</x:v>
      </x:c>
      <x:c r="H319" s="84" t="str">
        <x:v>Not Started</x:v>
      </x:c>
      <x:c r="I319" s="80" t="str">
        <x:v>Enumerate coin combinations recursively; branching becomes exponential.</x:v>
      </x:c>
      <x:c r="J319" s="80" t="str">
        <x:v>DP by amount: dp[a] = min(dp[a], dp[a-coin]+1); unreachable amounts stay infinite.</x:v>
      </x:c>
      <x:c r="K319" s="80" t="str">
        <x:v>O(amount × coins)</x:v>
      </x:c>
      <x:c r="L319" s="80" t="str">
        <x:v>O(amount)</x:v>
      </x:c>
      <x:c r="M319" s="84" t="n">
        <x:v>0</x:v>
      </x:c>
      <x:c r="N319" s="86"/>
      <x:c r="O319" s="84"/>
      <x:c r="P319" s="86"/>
      <x:c r="Q319" s="80" t="str">
        <x:v>https://leetcode.com/problems/coin-change/</x:v>
      </x:c>
      <x:c r="R319" s="80" t="str"/>
      <x:c r="S319" s="84" t="n">
        <x:f>IF(AND(OR(H319="Solved",H319="Revised"),G319="New (counts toward 400)"),1,0)</x:f>
        <x:v>0</x:v>
      </x:c>
    </x:row>
    <x:row r="320" ht="48" customHeight="1">
      <x:c r="A320" s="84" t="n">
        <x:v>317</x:v>
      </x:c>
      <x:c r="B320" s="84" t="n">
        <x:v>518</x:v>
      </x:c>
      <x:c r="C320" s="80" t="str">
        <x:v>Coin Change II</x:v>
      </x:c>
      <x:c r="D320" s="84" t="str">
        <x:v>Medium</x:v>
      </x:c>
      <x:c r="E320" s="84" t="str">
        <x:v>DP / Knapsack</x:v>
      </x:c>
      <x:c r="F320" s="84" t="str">
        <x:v>P1</x:v>
      </x:c>
      <x:c r="G320" s="84" t="str">
        <x:v>New (counts toward 400)</x:v>
      </x:c>
      <x:c r="H320" s="84" t="str">
        <x:v>Not Started</x:v>
      </x:c>
      <x:c r="I320" s="80" t="str">
        <x:v>Express choices recursively without memoization; repeated subproblems can make this exponential.</x:v>
      </x:c>
      <x:c r="J320" s="80" t="str">
        <x:v>Define state, base cases, and transition; memoize, then tabulate and compress dimensions if dependencies allow.</x:v>
      </x:c>
      <x:c r="K320" s="80" t="str">
        <x:v>O(states × transitions)</x:v>
      </x:c>
      <x:c r="L320" s="80" t="str">
        <x:v>O(number of states)</x:v>
      </x:c>
      <x:c r="M320" s="84" t="n">
        <x:v>0</x:v>
      </x:c>
      <x:c r="N320" s="86"/>
      <x:c r="O320" s="84"/>
      <x:c r="P320" s="86"/>
      <x:c r="Q320" s="80" t="str">
        <x:v>https://leetcode.com/problems/coin-change-ii/</x:v>
      </x:c>
      <x:c r="R320" s="80" t="str"/>
      <x:c r="S320" s="84" t="n">
        <x:f>IF(AND(OR(H320="Solved",H320="Revised"),G320="New (counts toward 400)"),1,0)</x:f>
        <x:v>0</x:v>
      </x:c>
    </x:row>
    <x:row r="321" ht="48" customHeight="1">
      <x:c r="A321" s="84" t="n">
        <x:v>318</x:v>
      </x:c>
      <x:c r="B321" s="84" t="n">
        <x:v>377</x:v>
      </x:c>
      <x:c r="C321" s="80" t="str">
        <x:v>Combination Sum IV</x:v>
      </x:c>
      <x:c r="D321" s="84" t="str">
        <x:v>Medium</x:v>
      </x:c>
      <x:c r="E321" s="84" t="str">
        <x:v>DP / Counting</x:v>
      </x:c>
      <x:c r="F321" s="84" t="str">
        <x:v>P2</x:v>
      </x:c>
      <x:c r="G321" s="84" t="str">
        <x:v>New (counts toward 400)</x:v>
      </x:c>
      <x:c r="H321" s="84" t="str">
        <x:v>Not Started</x:v>
      </x:c>
      <x:c r="I321" s="80" t="str">
        <x:v>Enumerate candidates directly and compare them with the requirements.</x:v>
      </x:c>
      <x:c r="J321" s="80" t="str">
        <x:v>Identify the invariant/state, and avoid recomputing information already established.</x:v>
      </x:c>
      <x:c r="K321" s="80" t="str">
        <x:v>Pattern-dependent</x:v>
      </x:c>
      <x:c r="L321" s="80" t="str">
        <x:v>Pattern-dependent</x:v>
      </x:c>
      <x:c r="M321" s="84" t="n">
        <x:v>0</x:v>
      </x:c>
      <x:c r="N321" s="86"/>
      <x:c r="O321" s="84"/>
      <x:c r="P321" s="86"/>
      <x:c r="Q321" s="80" t="str">
        <x:v>https://leetcode.com/problems/combination-sum-iv/</x:v>
      </x:c>
      <x:c r="R321" s="80" t="str"/>
      <x:c r="S321" s="84" t="n">
        <x:f>IF(AND(OR(H321="Solved",H321="Revised"),G321="New (counts toward 400)"),1,0)</x:f>
        <x:v>0</x:v>
      </x:c>
    </x:row>
    <x:row r="322" ht="48" customHeight="1">
      <x:c r="A322" s="84" t="n">
        <x:v>319</x:v>
      </x:c>
      <x:c r="B322" s="84" t="n">
        <x:v>279</x:v>
      </x:c>
      <x:c r="C322" s="80" t="str">
        <x:v>Perfect Squares</x:v>
      </x:c>
      <x:c r="D322" s="84" t="str">
        <x:v>Medium</x:v>
      </x:c>
      <x:c r="E322" s="84" t="str">
        <x:v>DP / BFS</x:v>
      </x:c>
      <x:c r="F322" s="84" t="str">
        <x:v>P2</x:v>
      </x:c>
      <x:c r="G322" s="84" t="str">
        <x:v>New (counts toward 400)</x:v>
      </x:c>
      <x:c r="H322" s="84" t="str">
        <x:v>Not Started</x:v>
      </x:c>
      <x:c r="I322" s="80" t="str">
        <x:v>Enumerate candidates directly and compare them with the requirements.</x:v>
      </x:c>
      <x:c r="J322" s="80" t="str">
        <x:v>Identify the invariant/state, and avoid recomputing information already established.</x:v>
      </x:c>
      <x:c r="K322" s="80" t="str">
        <x:v>Pattern-dependent</x:v>
      </x:c>
      <x:c r="L322" s="80" t="str">
        <x:v>Pattern-dependent</x:v>
      </x:c>
      <x:c r="M322" s="84" t="n">
        <x:v>0</x:v>
      </x:c>
      <x:c r="N322" s="86"/>
      <x:c r="O322" s="84"/>
      <x:c r="P322" s="86"/>
      <x:c r="Q322" s="80" t="str">
        <x:v>https://leetcode.com/problems/perfect-squares/</x:v>
      </x:c>
      <x:c r="R322" s="80" t="str"/>
      <x:c r="S322" s="84" t="n">
        <x:f>IF(AND(OR(H322="Solved",H322="Revised"),G322="New (counts toward 400)"),1,0)</x:f>
        <x:v>0</x:v>
      </x:c>
    </x:row>
    <x:row r="323" ht="48" customHeight="1">
      <x:c r="A323" s="84" t="n">
        <x:v>320</x:v>
      </x:c>
      <x:c r="B323" s="84" t="n">
        <x:v>91</x:v>
      </x:c>
      <x:c r="C323" s="80" t="str">
        <x:v>Decode Ways</x:v>
      </x:c>
      <x:c r="D323" s="84" t="str">
        <x:v>Medium</x:v>
      </x:c>
      <x:c r="E323" s="84" t="str">
        <x:v>DP / Strings</x:v>
      </x:c>
      <x:c r="F323" s="84" t="str">
        <x:v>P1</x:v>
      </x:c>
      <x:c r="G323" s="84" t="str">
        <x:v>New (counts toward 400)</x:v>
      </x:c>
      <x:c r="H323" s="84" t="str">
        <x:v>Not Started</x:v>
      </x:c>
      <x:c r="I323" s="80" t="str">
        <x:v>Compare candidate substrings or repeatedly scan the input to determine the answer.</x:v>
      </x:c>
      <x:c r="J323" s="80" t="str">
        <x:v>Use character counts, a stack, two pointers, or a string-matching invariant suited to the operation.</x:v>
      </x:c>
      <x:c r="K323" s="80" t="str">
        <x:v>O(n) to O(n log n)</x:v>
      </x:c>
      <x:c r="L323" s="80" t="str">
        <x:v>O(n)</x:v>
      </x:c>
      <x:c r="M323" s="84" t="n">
        <x:v>0</x:v>
      </x:c>
      <x:c r="N323" s="86"/>
      <x:c r="O323" s="84"/>
      <x:c r="P323" s="86"/>
      <x:c r="Q323" s="80" t="str">
        <x:v>https://leetcode.com/problems/decode-ways/</x:v>
      </x:c>
      <x:c r="R323" s="80" t="str"/>
      <x:c r="S323" s="84" t="n">
        <x:f>IF(AND(OR(H323="Solved",H323="Revised"),G323="New (counts toward 400)"),1,0)</x:f>
        <x:v>0</x:v>
      </x:c>
    </x:row>
    <x:row r="324" ht="48" customHeight="1">
      <x:c r="A324" s="84" t="n">
        <x:v>321</x:v>
      </x:c>
      <x:c r="B324" s="84" t="n">
        <x:v>62</x:v>
      </x:c>
      <x:c r="C324" s="80" t="str">
        <x:v>Unique Paths</x:v>
      </x:c>
      <x:c r="D324" s="84" t="str">
        <x:v>Medium</x:v>
      </x:c>
      <x:c r="E324" s="84" t="str">
        <x:v>DP / Grid</x:v>
      </x:c>
      <x:c r="F324" s="84" t="str">
        <x:v>P1</x:v>
      </x:c>
      <x:c r="G324" s="84" t="str">
        <x:v>New (counts toward 400)</x:v>
      </x:c>
      <x:c r="H324" s="84" t="str">
        <x:v>Not Started</x:v>
      </x:c>
      <x:c r="I324" s="80" t="str">
        <x:v>Enumerate candidates directly and compare them with the requirements.</x:v>
      </x:c>
      <x:c r="J324" s="80" t="str">
        <x:v>Identify the invariant/state, and avoid recomputing information already established.</x:v>
      </x:c>
      <x:c r="K324" s="80" t="str">
        <x:v>Pattern-dependent</x:v>
      </x:c>
      <x:c r="L324" s="80" t="str">
        <x:v>Pattern-dependent</x:v>
      </x:c>
      <x:c r="M324" s="84" t="n">
        <x:v>0</x:v>
      </x:c>
      <x:c r="N324" s="86"/>
      <x:c r="O324" s="84"/>
      <x:c r="P324" s="86"/>
      <x:c r="Q324" s="80" t="str">
        <x:v>https://leetcode.com/problems/unique-paths/</x:v>
      </x:c>
      <x:c r="R324" s="80" t="str"/>
      <x:c r="S324" s="84" t="n">
        <x:f>IF(AND(OR(H324="Solved",H324="Revised"),G324="New (counts toward 400)"),1,0)</x:f>
        <x:v>0</x:v>
      </x:c>
    </x:row>
    <x:row r="325" ht="48" customHeight="1">
      <x:c r="A325" s="84" t="n">
        <x:v>322</x:v>
      </x:c>
      <x:c r="B325" s="84" t="n">
        <x:v>63</x:v>
      </x:c>
      <x:c r="C325" s="80" t="str">
        <x:v>Unique Paths II</x:v>
      </x:c>
      <x:c r="D325" s="84" t="str">
        <x:v>Medium</x:v>
      </x:c>
      <x:c r="E325" s="84" t="str">
        <x:v>DP / Grid</x:v>
      </x:c>
      <x:c r="F325" s="84" t="str">
        <x:v>P2</x:v>
      </x:c>
      <x:c r="G325" s="84" t="str">
        <x:v>New (counts toward 400)</x:v>
      </x:c>
      <x:c r="H325" s="84" t="str">
        <x:v>Not Started</x:v>
      </x:c>
      <x:c r="I325" s="80" t="str">
        <x:v>Enumerate candidates directly and compare them with the requirements.</x:v>
      </x:c>
      <x:c r="J325" s="80" t="str">
        <x:v>Identify the invariant/state, and avoid recomputing information already established.</x:v>
      </x:c>
      <x:c r="K325" s="80" t="str">
        <x:v>Pattern-dependent</x:v>
      </x:c>
      <x:c r="L325" s="80" t="str">
        <x:v>Pattern-dependent</x:v>
      </x:c>
      <x:c r="M325" s="84" t="n">
        <x:v>0</x:v>
      </x:c>
      <x:c r="N325" s="86"/>
      <x:c r="O325" s="84"/>
      <x:c r="P325" s="86"/>
      <x:c r="Q325" s="80" t="str">
        <x:v>https://leetcode.com/problems/unique-paths-ii/</x:v>
      </x:c>
      <x:c r="R325" s="80" t="str"/>
      <x:c r="S325" s="84" t="n">
        <x:f>IF(AND(OR(H325="Solved",H325="Revised"),G325="New (counts toward 400)"),1,0)</x:f>
        <x:v>0</x:v>
      </x:c>
    </x:row>
    <x:row r="326" ht="48" customHeight="1">
      <x:c r="A326" s="84" t="n">
        <x:v>323</x:v>
      </x:c>
      <x:c r="B326" s="84" t="n">
        <x:v>64</x:v>
      </x:c>
      <x:c r="C326" s="80" t="str">
        <x:v>Minimum Path Sum</x:v>
      </x:c>
      <x:c r="D326" s="84" t="str">
        <x:v>Medium</x:v>
      </x:c>
      <x:c r="E326" s="84" t="str">
        <x:v>DP / Grid</x:v>
      </x:c>
      <x:c r="F326" s="84" t="str">
        <x:v>P1</x:v>
      </x:c>
      <x:c r="G326" s="84" t="str">
        <x:v>New (counts toward 400)</x:v>
      </x:c>
      <x:c r="H326" s="84" t="str">
        <x:v>Not Started</x:v>
      </x:c>
      <x:c r="I326" s="80" t="str">
        <x:v>Enumerate candidates directly and compare them with the requirements.</x:v>
      </x:c>
      <x:c r="J326" s="80" t="str">
        <x:v>Identify the invariant/state, and avoid recomputing information already established.</x:v>
      </x:c>
      <x:c r="K326" s="80" t="str">
        <x:v>Pattern-dependent</x:v>
      </x:c>
      <x:c r="L326" s="80" t="str">
        <x:v>Pattern-dependent</x:v>
      </x:c>
      <x:c r="M326" s="84" t="n">
        <x:v>0</x:v>
      </x:c>
      <x:c r="N326" s="86"/>
      <x:c r="O326" s="84"/>
      <x:c r="P326" s="86"/>
      <x:c r="Q326" s="80" t="str">
        <x:v>https://leetcode.com/problems/minimum-path-sum/</x:v>
      </x:c>
      <x:c r="R326" s="80" t="str"/>
      <x:c r="S326" s="84" t="n">
        <x:f>IF(AND(OR(H326="Solved",H326="Revised"),G326="New (counts toward 400)"),1,0)</x:f>
        <x:v>0</x:v>
      </x:c>
    </x:row>
    <x:row r="327" ht="48" customHeight="1">
      <x:c r="A327" s="84" t="n">
        <x:v>324</x:v>
      </x:c>
      <x:c r="B327" s="84" t="n">
        <x:v>120</x:v>
      </x:c>
      <x:c r="C327" s="80" t="str">
        <x:v>Triangle</x:v>
      </x:c>
      <x:c r="D327" s="84" t="str">
        <x:v>Medium</x:v>
      </x:c>
      <x:c r="E327" s="84" t="str">
        <x:v>DP / Grid</x:v>
      </x:c>
      <x:c r="F327" s="84" t="str">
        <x:v>P2</x:v>
      </x:c>
      <x:c r="G327" s="84" t="str">
        <x:v>New (counts toward 400)</x:v>
      </x:c>
      <x:c r="H327" s="84" t="str">
        <x:v>Not Started</x:v>
      </x:c>
      <x:c r="I327" s="80" t="str">
        <x:v>Enumerate candidates directly and compare them with the requirements.</x:v>
      </x:c>
      <x:c r="J327" s="80" t="str">
        <x:v>Identify the invariant/state, and avoid recomputing information already established.</x:v>
      </x:c>
      <x:c r="K327" s="80" t="str">
        <x:v>Pattern-dependent</x:v>
      </x:c>
      <x:c r="L327" s="80" t="str">
        <x:v>Pattern-dependent</x:v>
      </x:c>
      <x:c r="M327" s="84" t="n">
        <x:v>0</x:v>
      </x:c>
      <x:c r="N327" s="86"/>
      <x:c r="O327" s="84"/>
      <x:c r="P327" s="86"/>
      <x:c r="Q327" s="80" t="str">
        <x:v>https://leetcode.com/problems/triangle/</x:v>
      </x:c>
      <x:c r="R327" s="80" t="str"/>
      <x:c r="S327" s="84" t="n">
        <x:f>IF(AND(OR(H327="Solved",H327="Revised"),G327="New (counts toward 400)"),1,0)</x:f>
        <x:v>0</x:v>
      </x:c>
    </x:row>
    <x:row r="328" ht="48" customHeight="1">
      <x:c r="A328" s="84" t="n">
        <x:v>325</x:v>
      </x:c>
      <x:c r="B328" s="84" t="n">
        <x:v>931</x:v>
      </x:c>
      <x:c r="C328" s="80" t="str">
        <x:v>Minimum Falling Path Sum</x:v>
      </x:c>
      <x:c r="D328" s="84" t="str">
        <x:v>Medium</x:v>
      </x:c>
      <x:c r="E328" s="84" t="str">
        <x:v>DP / Grid</x:v>
      </x:c>
      <x:c r="F328" s="84" t="str">
        <x:v>P2</x:v>
      </x:c>
      <x:c r="G328" s="84" t="str">
        <x:v>New (counts toward 400)</x:v>
      </x:c>
      <x:c r="H328" s="84" t="str">
        <x:v>Not Started</x:v>
      </x:c>
      <x:c r="I328" s="80" t="str">
        <x:v>Enumerate candidates directly and compare them with the requirements.</x:v>
      </x:c>
      <x:c r="J328" s="80" t="str">
        <x:v>Identify the invariant/state, and avoid recomputing information already established.</x:v>
      </x:c>
      <x:c r="K328" s="80" t="str">
        <x:v>Pattern-dependent</x:v>
      </x:c>
      <x:c r="L328" s="80" t="str">
        <x:v>Pattern-dependent</x:v>
      </x:c>
      <x:c r="M328" s="84" t="n">
        <x:v>0</x:v>
      </x:c>
      <x:c r="N328" s="86"/>
      <x:c r="O328" s="84"/>
      <x:c r="P328" s="86"/>
      <x:c r="Q328" s="80" t="str">
        <x:v>https://leetcode.com/problems/minimum-falling-path-sum/</x:v>
      </x:c>
      <x:c r="R328" s="80" t="str"/>
      <x:c r="S328" s="84" t="n">
        <x:f>IF(AND(OR(H328="Solved",H328="Revised"),G328="New (counts toward 400)"),1,0)</x:f>
        <x:v>0</x:v>
      </x:c>
    </x:row>
    <x:row r="329" ht="48" customHeight="1">
      <x:c r="A329" s="84" t="n">
        <x:v>326</x:v>
      </x:c>
      <x:c r="B329" s="84" t="n">
        <x:v>221</x:v>
      </x:c>
      <x:c r="C329" s="80" t="str">
        <x:v>Maximal Square</x:v>
      </x:c>
      <x:c r="D329" s="84" t="str">
        <x:v>Medium</x:v>
      </x:c>
      <x:c r="E329" s="84" t="str">
        <x:v>DP / Grid</x:v>
      </x:c>
      <x:c r="F329" s="84" t="str">
        <x:v>P1</x:v>
      </x:c>
      <x:c r="G329" s="84" t="str">
        <x:v>New (counts toward 400)</x:v>
      </x:c>
      <x:c r="H329" s="84" t="str">
        <x:v>Not Started</x:v>
      </x:c>
      <x:c r="I329" s="80" t="str">
        <x:v>Enumerate candidates directly and compare them with the requirements.</x:v>
      </x:c>
      <x:c r="J329" s="80" t="str">
        <x:v>Identify the invariant/state, and avoid recomputing information already established.</x:v>
      </x:c>
      <x:c r="K329" s="80" t="str">
        <x:v>Pattern-dependent</x:v>
      </x:c>
      <x:c r="L329" s="80" t="str">
        <x:v>Pattern-dependent</x:v>
      </x:c>
      <x:c r="M329" s="84" t="n">
        <x:v>0</x:v>
      </x:c>
      <x:c r="N329" s="86"/>
      <x:c r="O329" s="84"/>
      <x:c r="P329" s="86"/>
      <x:c r="Q329" s="80" t="str">
        <x:v>https://leetcode.com/problems/maximal-square/</x:v>
      </x:c>
      <x:c r="R329" s="80" t="str"/>
      <x:c r="S329" s="84" t="n">
        <x:f>IF(AND(OR(H329="Solved",H329="Revised"),G329="New (counts toward 400)"),1,0)</x:f>
        <x:v>0</x:v>
      </x:c>
    </x:row>
    <x:row r="330" ht="48" customHeight="1">
      <x:c r="A330" s="84" t="n">
        <x:v>327</x:v>
      </x:c>
      <x:c r="B330" s="84" t="n">
        <x:v>474</x:v>
      </x:c>
      <x:c r="C330" s="80" t="str">
        <x:v>Ones and Zeroes</x:v>
      </x:c>
      <x:c r="D330" s="84" t="str">
        <x:v>Medium</x:v>
      </x:c>
      <x:c r="E330" s="84" t="str">
        <x:v>DP / Knapsack</x:v>
      </x:c>
      <x:c r="F330" s="84" t="str">
        <x:v>P2</x:v>
      </x:c>
      <x:c r="G330" s="84" t="str">
        <x:v>New (counts toward 400)</x:v>
      </x:c>
      <x:c r="H330" s="84" t="str">
        <x:v>Not Started</x:v>
      </x:c>
      <x:c r="I330" s="80" t="str">
        <x:v>Express choices recursively without memoization; repeated subproblems can make this exponential.</x:v>
      </x:c>
      <x:c r="J330" s="80" t="str">
        <x:v>Define state, base cases, and transition; memoize, then tabulate and compress dimensions if dependencies allow.</x:v>
      </x:c>
      <x:c r="K330" s="80" t="str">
        <x:v>O(states × transitions)</x:v>
      </x:c>
      <x:c r="L330" s="80" t="str">
        <x:v>O(number of states)</x:v>
      </x:c>
      <x:c r="M330" s="84" t="n">
        <x:v>0</x:v>
      </x:c>
      <x:c r="N330" s="86"/>
      <x:c r="O330" s="84"/>
      <x:c r="P330" s="86"/>
      <x:c r="Q330" s="80" t="str">
        <x:v>https://leetcode.com/problems/ones-and-zeroes/</x:v>
      </x:c>
      <x:c r="R330" s="80" t="str"/>
      <x:c r="S330" s="84" t="n">
        <x:f>IF(AND(OR(H330="Solved",H330="Revised"),G330="New (counts toward 400)"),1,0)</x:f>
        <x:v>0</x:v>
      </x:c>
    </x:row>
    <x:row r="331" ht="48" customHeight="1">
      <x:c r="A331" s="84" t="n">
        <x:v>328</x:v>
      </x:c>
      <x:c r="B331" s="84" t="n">
        <x:v>416</x:v>
      </x:c>
      <x:c r="C331" s="80" t="str">
        <x:v>Partition Equal Subset Sum</x:v>
      </x:c>
      <x:c r="D331" s="84" t="str">
        <x:v>Medium</x:v>
      </x:c>
      <x:c r="E331" s="84" t="str">
        <x:v>DP / Knapsack</x:v>
      </x:c>
      <x:c r="F331" s="84" t="str">
        <x:v>P1</x:v>
      </x:c>
      <x:c r="G331" s="84" t="str">
        <x:v>New (counts toward 400)</x:v>
      </x:c>
      <x:c r="H331" s="84" t="str">
        <x:v>Not Started</x:v>
      </x:c>
      <x:c r="I331" s="80" t="str">
        <x:v>Express choices recursively without memoization; repeated subproblems can make this exponential.</x:v>
      </x:c>
      <x:c r="J331" s="80" t="str">
        <x:v>Define state, base cases, and transition; memoize, then tabulate and compress dimensions if dependencies allow.</x:v>
      </x:c>
      <x:c r="K331" s="80" t="str">
        <x:v>O(states × transitions)</x:v>
      </x:c>
      <x:c r="L331" s="80" t="str">
        <x:v>O(number of states)</x:v>
      </x:c>
      <x:c r="M331" s="84" t="n">
        <x:v>0</x:v>
      </x:c>
      <x:c r="N331" s="86"/>
      <x:c r="O331" s="84"/>
      <x:c r="P331" s="86"/>
      <x:c r="Q331" s="80" t="str">
        <x:v>https://leetcode.com/problems/partition-equal-subset-sum/</x:v>
      </x:c>
      <x:c r="R331" s="80" t="str"/>
      <x:c r="S331" s="84" t="n">
        <x:f>IF(AND(OR(H331="Solved",H331="Revised"),G331="New (counts toward 400)"),1,0)</x:f>
        <x:v>0</x:v>
      </x:c>
    </x:row>
    <x:row r="332" ht="48" customHeight="1">
      <x:c r="A332" s="84" t="n">
        <x:v>329</x:v>
      </x:c>
      <x:c r="B332" s="84" t="n">
        <x:v>494</x:v>
      </x:c>
      <x:c r="C332" s="80" t="str">
        <x:v>Target Sum</x:v>
      </x:c>
      <x:c r="D332" s="84" t="str">
        <x:v>Medium</x:v>
      </x:c>
      <x:c r="E332" s="84" t="str">
        <x:v>DP / Knapsack</x:v>
      </x:c>
      <x:c r="F332" s="84" t="str">
        <x:v>P1</x:v>
      </x:c>
      <x:c r="G332" s="84" t="str">
        <x:v>New (counts toward 400)</x:v>
      </x:c>
      <x:c r="H332" s="84" t="str">
        <x:v>Not Started</x:v>
      </x:c>
      <x:c r="I332" s="80" t="str">
        <x:v>Express choices recursively without memoization; repeated subproblems can make this exponential.</x:v>
      </x:c>
      <x:c r="J332" s="80" t="str">
        <x:v>Define state, base cases, and transition; memoize, then tabulate and compress dimensions if dependencies allow.</x:v>
      </x:c>
      <x:c r="K332" s="80" t="str">
        <x:v>O(states × transitions)</x:v>
      </x:c>
      <x:c r="L332" s="80" t="str">
        <x:v>O(number of states)</x:v>
      </x:c>
      <x:c r="M332" s="84" t="n">
        <x:v>0</x:v>
      </x:c>
      <x:c r="N332" s="86"/>
      <x:c r="O332" s="84"/>
      <x:c r="P332" s="86"/>
      <x:c r="Q332" s="80" t="str">
        <x:v>https://leetcode.com/problems/target-sum/</x:v>
      </x:c>
      <x:c r="R332" s="80" t="str"/>
      <x:c r="S332" s="84" t="n">
        <x:f>IF(AND(OR(H332="Solved",H332="Revised"),G332="New (counts toward 400)"),1,0)</x:f>
        <x:v>0</x:v>
      </x:c>
    </x:row>
    <x:row r="333" ht="48" customHeight="1">
      <x:c r="A333" s="84" t="n">
        <x:v>330</x:v>
      </x:c>
      <x:c r="B333" s="84" t="n">
        <x:v>1049</x:v>
      </x:c>
      <x:c r="C333" s="80" t="str">
        <x:v>Last Stone Weight II</x:v>
      </x:c>
      <x:c r="D333" s="84" t="str">
        <x:v>Medium</x:v>
      </x:c>
      <x:c r="E333" s="84" t="str">
        <x:v>DP / Knapsack</x:v>
      </x:c>
      <x:c r="F333" s="84" t="str">
        <x:v>P2</x:v>
      </x:c>
      <x:c r="G333" s="84" t="str">
        <x:v>New (counts toward 400)</x:v>
      </x:c>
      <x:c r="H333" s="84" t="str">
        <x:v>Not Started</x:v>
      </x:c>
      <x:c r="I333" s="80" t="str">
        <x:v>Express choices recursively without memoization; repeated subproblems can make this exponential.</x:v>
      </x:c>
      <x:c r="J333" s="80" t="str">
        <x:v>Define state, base cases, and transition; memoize, then tabulate and compress dimensions if dependencies allow.</x:v>
      </x:c>
      <x:c r="K333" s="80" t="str">
        <x:v>O(states × transitions)</x:v>
      </x:c>
      <x:c r="L333" s="80" t="str">
        <x:v>O(number of states)</x:v>
      </x:c>
      <x:c r="M333" s="84" t="n">
        <x:v>0</x:v>
      </x:c>
      <x:c r="N333" s="86"/>
      <x:c r="O333" s="84"/>
      <x:c r="P333" s="86"/>
      <x:c r="Q333" s="80" t="str">
        <x:v>https://leetcode.com/problems/last-stone-weight-ii/</x:v>
      </x:c>
      <x:c r="R333" s="80" t="str"/>
      <x:c r="S333" s="84" t="n">
        <x:f>IF(AND(OR(H333="Solved",H333="Revised"),G333="New (counts toward 400)"),1,0)</x:f>
        <x:v>0</x:v>
      </x:c>
    </x:row>
    <x:row r="334" ht="48" customHeight="1">
      <x:c r="A334" s="84" t="n">
        <x:v>331</x:v>
      </x:c>
      <x:c r="B334" s="84" t="n">
        <x:v>879</x:v>
      </x:c>
      <x:c r="C334" s="80" t="str">
        <x:v>Profitable Schemes</x:v>
      </x:c>
      <x:c r="D334" s="84" t="str">
        <x:v>Hard</x:v>
      </x:c>
      <x:c r="E334" s="84" t="str">
        <x:v>DP / Knapsack</x:v>
      </x:c>
      <x:c r="F334" s="84" t="str">
        <x:v>P3</x:v>
      </x:c>
      <x:c r="G334" s="84" t="str">
        <x:v>New (counts toward 400)</x:v>
      </x:c>
      <x:c r="H334" s="84" t="str">
        <x:v>Not Started</x:v>
      </x:c>
      <x:c r="I334" s="80" t="str">
        <x:v>Express choices recursively without memoization; repeated subproblems can make this exponential.</x:v>
      </x:c>
      <x:c r="J334" s="80" t="str">
        <x:v>Define state, base cases, and transition; memoize, then tabulate and compress dimensions if dependencies allow.</x:v>
      </x:c>
      <x:c r="K334" s="80" t="str">
        <x:v>O(states × transitions)</x:v>
      </x:c>
      <x:c r="L334" s="80" t="str">
        <x:v>O(number of states)</x:v>
      </x:c>
      <x:c r="M334" s="84" t="n">
        <x:v>0</x:v>
      </x:c>
      <x:c r="N334" s="86"/>
      <x:c r="O334" s="84"/>
      <x:c r="P334" s="86"/>
      <x:c r="Q334" s="80" t="str">
        <x:v>https://leetcode.com/problems/profitable-schemes/</x:v>
      </x:c>
      <x:c r="R334" s="80" t="str"/>
      <x:c r="S334" s="84" t="n">
        <x:f>IF(AND(OR(H334="Solved",H334="Revised"),G334="New (counts toward 400)"),1,0)</x:f>
        <x:v>0</x:v>
      </x:c>
    </x:row>
    <x:row r="335" ht="48" customHeight="1">
      <x:c r="A335" s="84" t="n">
        <x:v>332</x:v>
      </x:c>
      <x:c r="B335" s="84" t="n">
        <x:v>1220</x:v>
      </x:c>
      <x:c r="C335" s="80" t="str">
        <x:v>Count Vowels Permutation</x:v>
      </x:c>
      <x:c r="D335" s="84" t="str">
        <x:v>Hard</x:v>
      </x:c>
      <x:c r="E335" s="84" t="str">
        <x:v>DP / Counting</x:v>
      </x:c>
      <x:c r="F335" s="84" t="str">
        <x:v>P3</x:v>
      </x:c>
      <x:c r="G335" s="84" t="str">
        <x:v>New (counts toward 400)</x:v>
      </x:c>
      <x:c r="H335" s="84" t="str">
        <x:v>Not Started</x:v>
      </x:c>
      <x:c r="I335" s="80" t="str">
        <x:v>Enumerate candidates directly and compare them with the requirements.</x:v>
      </x:c>
      <x:c r="J335" s="80" t="str">
        <x:v>Identify the invariant/state, and avoid recomputing information already established.</x:v>
      </x:c>
      <x:c r="K335" s="80" t="str">
        <x:v>Pattern-dependent</x:v>
      </x:c>
      <x:c r="L335" s="80" t="str">
        <x:v>Pattern-dependent</x:v>
      </x:c>
      <x:c r="M335" s="84" t="n">
        <x:v>0</x:v>
      </x:c>
      <x:c r="N335" s="86"/>
      <x:c r="O335" s="84"/>
      <x:c r="P335" s="86"/>
      <x:c r="Q335" s="80" t="str">
        <x:v>https://leetcode.com/problems/count-vowels-permutation/</x:v>
      </x:c>
      <x:c r="R335" s="80" t="str"/>
      <x:c r="S335" s="84" t="n">
        <x:f>IF(AND(OR(H335="Solved",H335="Revised"),G335="New (counts toward 400)"),1,0)</x:f>
        <x:v>0</x:v>
      </x:c>
    </x:row>
    <x:row r="336" ht="48" customHeight="1">
      <x:c r="A336" s="84" t="n">
        <x:v>333</x:v>
      </x:c>
      <x:c r="B336" s="84" t="n">
        <x:v>688</x:v>
      </x:c>
      <x:c r="C336" s="80" t="str">
        <x:v>Knight Probability in Chessboard</x:v>
      </x:c>
      <x:c r="D336" s="84" t="str">
        <x:v>Medium</x:v>
      </x:c>
      <x:c r="E336" s="84" t="str">
        <x:v>DP / Probability</x:v>
      </x:c>
      <x:c r="F336" s="84" t="str">
        <x:v>P3</x:v>
      </x:c>
      <x:c r="G336" s="84" t="str">
        <x:v>New (counts toward 400)</x:v>
      </x:c>
      <x:c r="H336" s="84" t="str">
        <x:v>Not Started</x:v>
      </x:c>
      <x:c r="I336" s="80" t="str">
        <x:v>Enumerate candidates directly and compare them with the requirements.</x:v>
      </x:c>
      <x:c r="J336" s="80" t="str">
        <x:v>Identify the invariant/state, and avoid recomputing information already established.</x:v>
      </x:c>
      <x:c r="K336" s="80" t="str">
        <x:v>Pattern-dependent</x:v>
      </x:c>
      <x:c r="L336" s="80" t="str">
        <x:v>Pattern-dependent</x:v>
      </x:c>
      <x:c r="M336" s="84" t="n">
        <x:v>0</x:v>
      </x:c>
      <x:c r="N336" s="86"/>
      <x:c r="O336" s="84"/>
      <x:c r="P336" s="86"/>
      <x:c r="Q336" s="80" t="str">
        <x:v>https://leetcode.com/problems/knight-probability-in-chessboard/</x:v>
      </x:c>
      <x:c r="R336" s="80" t="str"/>
      <x:c r="S336" s="84" t="n">
        <x:f>IF(AND(OR(H336="Solved",H336="Revised"),G336="New (counts toward 400)"),1,0)</x:f>
        <x:v>0</x:v>
      </x:c>
    </x:row>
    <x:row r="337" ht="48" customHeight="1">
      <x:c r="A337" s="84" t="n">
        <x:v>334</x:v>
      </x:c>
      <x:c r="B337" s="84" t="n">
        <x:v>576</x:v>
      </x:c>
      <x:c r="C337" s="80" t="str">
        <x:v>Out of Boundary Paths</x:v>
      </x:c>
      <x:c r="D337" s="84" t="str">
        <x:v>Medium</x:v>
      </x:c>
      <x:c r="E337" s="84" t="str">
        <x:v>DP / Grid</x:v>
      </x:c>
      <x:c r="F337" s="84" t="str">
        <x:v>P2</x:v>
      </x:c>
      <x:c r="G337" s="84" t="str">
        <x:v>New (counts toward 400)</x:v>
      </x:c>
      <x:c r="H337" s="84" t="str">
        <x:v>Not Started</x:v>
      </x:c>
      <x:c r="I337" s="80" t="str">
        <x:v>Enumerate candidates directly and compare them with the requirements.</x:v>
      </x:c>
      <x:c r="J337" s="80" t="str">
        <x:v>Identify the invariant/state, and avoid recomputing information already established.</x:v>
      </x:c>
      <x:c r="K337" s="80" t="str">
        <x:v>Pattern-dependent</x:v>
      </x:c>
      <x:c r="L337" s="80" t="str">
        <x:v>Pattern-dependent</x:v>
      </x:c>
      <x:c r="M337" s="84" t="n">
        <x:v>0</x:v>
      </x:c>
      <x:c r="N337" s="86"/>
      <x:c r="O337" s="84"/>
      <x:c r="P337" s="86"/>
      <x:c r="Q337" s="80" t="str">
        <x:v>https://leetcode.com/problems/out-of-boundary-paths/</x:v>
      </x:c>
      <x:c r="R337" s="80" t="str"/>
      <x:c r="S337" s="84" t="n">
        <x:f>IF(AND(OR(H337="Solved",H337="Revised"),G337="New (counts toward 400)"),1,0)</x:f>
        <x:v>0</x:v>
      </x:c>
    </x:row>
    <x:row r="338" ht="48" customHeight="1">
      <x:c r="A338" s="84" t="n">
        <x:v>335</x:v>
      </x:c>
      <x:c r="B338" s="84" t="n">
        <x:v>887</x:v>
      </x:c>
      <x:c r="C338" s="80" t="str">
        <x:v>Super Egg Drop</x:v>
      </x:c>
      <x:c r="D338" s="84" t="str">
        <x:v>Hard</x:v>
      </x:c>
      <x:c r="E338" s="84" t="str">
        <x:v>DP / Binary Search</x:v>
      </x:c>
      <x:c r="F338" s="84" t="str">
        <x:v>P3</x:v>
      </x:c>
      <x:c r="G338" s="84" t="str">
        <x:v>New (counts toward 400)</x:v>
      </x:c>
      <x:c r="H338" s="84" t="str">
        <x:v>Not Started</x:v>
      </x:c>
      <x:c r="I338" s="80" t="str">
        <x:v>Scan all candidates or test each possible answer.</x:v>
      </x:c>
      <x:c r="J338" s="80" t="str">
        <x:v>State the sorted/monotonic invariant and halve the interval; for answer search, define a feasibility check.</x:v>
      </x:c>
      <x:c r="K338" s="80" t="str">
        <x:v>O(log n) or O(n log range)</x:v>
      </x:c>
      <x:c r="L338" s="80" t="str">
        <x:v>O(1) extra</x:v>
      </x:c>
      <x:c r="M338" s="84" t="n">
        <x:v>0</x:v>
      </x:c>
      <x:c r="N338" s="86"/>
      <x:c r="O338" s="84"/>
      <x:c r="P338" s="86"/>
      <x:c r="Q338" s="80" t="str">
        <x:v>https://leetcode.com/problems/super-egg-drop/</x:v>
      </x:c>
      <x:c r="R338" s="80" t="str"/>
      <x:c r="S338" s="84" t="n">
        <x:f>IF(AND(OR(H338="Solved",H338="Revised"),G338="New (counts toward 400)"),1,0)</x:f>
        <x:v>0</x:v>
      </x:c>
    </x:row>
    <x:row r="339" ht="48" customHeight="1">
      <x:c r="A339" s="84" t="n">
        <x:v>336</x:v>
      </x:c>
      <x:c r="B339" s="84" t="n">
        <x:v>312</x:v>
      </x:c>
      <x:c r="C339" s="80" t="str">
        <x:v>Burst Balloons</x:v>
      </x:c>
      <x:c r="D339" s="84" t="str">
        <x:v>Hard</x:v>
      </x:c>
      <x:c r="E339" s="84" t="str">
        <x:v>DP / Interval</x:v>
      </x:c>
      <x:c r="F339" s="84" t="str">
        <x:v>P2</x:v>
      </x:c>
      <x:c r="G339" s="84" t="str">
        <x:v>New (counts toward 400)</x:v>
      </x:c>
      <x:c r="H339" s="84" t="str">
        <x:v>Not Started</x:v>
      </x:c>
      <x:c r="I339" s="80" t="str">
        <x:v>Try multiple selection/order choices or compare each interval with every other interval.</x:v>
      </x:c>
      <x:c r="J339" s="80" t="str">
        <x:v>Sort by the key that exposes feasibility (often start/end), then prove the greedy choice with an invariant.</x:v>
      </x:c>
      <x:c r="K339" s="80" t="str">
        <x:v>O(n log n)</x:v>
      </x:c>
      <x:c r="L339" s="80" t="str">
        <x:v>O(n) output or O(1) extra</x:v>
      </x:c>
      <x:c r="M339" s="84" t="n">
        <x:v>0</x:v>
      </x:c>
      <x:c r="N339" s="86"/>
      <x:c r="O339" s="84"/>
      <x:c r="P339" s="86"/>
      <x:c r="Q339" s="80" t="str">
        <x:v>https://leetcode.com/problems/burst-balloons/</x:v>
      </x:c>
      <x:c r="R339" s="80" t="str"/>
      <x:c r="S339" s="84" t="n">
        <x:f>IF(AND(OR(H339="Solved",H339="Revised"),G339="New (counts toward 400)"),1,0)</x:f>
        <x:v>0</x:v>
      </x:c>
    </x:row>
    <x:row r="340" ht="48" customHeight="1">
      <x:c r="A340" s="84" t="n">
        <x:v>337</x:v>
      </x:c>
      <x:c r="B340" s="84" t="n">
        <x:v>10</x:v>
      </x:c>
      <x:c r="C340" s="80" t="str">
        <x:v>Regular Expression Matching</x:v>
      </x:c>
      <x:c r="D340" s="84" t="str">
        <x:v>Hard</x:v>
      </x:c>
      <x:c r="E340" s="84" t="str">
        <x:v>DP / Strings</x:v>
      </x:c>
      <x:c r="F340" s="84" t="str">
        <x:v>P2</x:v>
      </x:c>
      <x:c r="G340" s="84" t="str">
        <x:v>New (counts toward 400)</x:v>
      </x:c>
      <x:c r="H340" s="84" t="str">
        <x:v>Not Started</x:v>
      </x:c>
      <x:c r="I340" s="80" t="str">
        <x:v>Compare candidate substrings or repeatedly scan the input to determine the answer.</x:v>
      </x:c>
      <x:c r="J340" s="80" t="str">
        <x:v>Use character counts, a stack, two pointers, or a string-matching invariant suited to the operation.</x:v>
      </x:c>
      <x:c r="K340" s="80" t="str">
        <x:v>O(n) to O(n log n)</x:v>
      </x:c>
      <x:c r="L340" s="80" t="str">
        <x:v>O(n)</x:v>
      </x:c>
      <x:c r="M340" s="84" t="n">
        <x:v>0</x:v>
      </x:c>
      <x:c r="N340" s="86"/>
      <x:c r="O340" s="84"/>
      <x:c r="P340" s="86"/>
      <x:c r="Q340" s="80" t="str">
        <x:v>https://leetcode.com/problems/regular-expression-matching/</x:v>
      </x:c>
      <x:c r="R340" s="80" t="str"/>
      <x:c r="S340" s="84" t="n">
        <x:f>IF(AND(OR(H340="Solved",H340="Revised"),G340="New (counts toward 400)"),1,0)</x:f>
        <x:v>0</x:v>
      </x:c>
    </x:row>
    <x:row r="341" ht="48" customHeight="1">
      <x:c r="A341" s="84" t="n">
        <x:v>338</x:v>
      </x:c>
      <x:c r="B341" s="84" t="n">
        <x:v>44</x:v>
      </x:c>
      <x:c r="C341" s="80" t="str">
        <x:v>Wildcard Matching</x:v>
      </x:c>
      <x:c r="D341" s="84" t="str">
        <x:v>Hard</x:v>
      </x:c>
      <x:c r="E341" s="84" t="str">
        <x:v>DP / Strings</x:v>
      </x:c>
      <x:c r="F341" s="84" t="str">
        <x:v>P2</x:v>
      </x:c>
      <x:c r="G341" s="84" t="str">
        <x:v>New (counts toward 400)</x:v>
      </x:c>
      <x:c r="H341" s="84" t="str">
        <x:v>Not Started</x:v>
      </x:c>
      <x:c r="I341" s="80" t="str">
        <x:v>Compare candidate substrings or repeatedly scan the input to determine the answer.</x:v>
      </x:c>
      <x:c r="J341" s="80" t="str">
        <x:v>Use character counts, a stack, two pointers, or a string-matching invariant suited to the operation.</x:v>
      </x:c>
      <x:c r="K341" s="80" t="str">
        <x:v>O(n) to O(n log n)</x:v>
      </x:c>
      <x:c r="L341" s="80" t="str">
        <x:v>O(n)</x:v>
      </x:c>
      <x:c r="M341" s="84" t="n">
        <x:v>0</x:v>
      </x:c>
      <x:c r="N341" s="86"/>
      <x:c r="O341" s="84"/>
      <x:c r="P341" s="86"/>
      <x:c r="Q341" s="80" t="str">
        <x:v>https://leetcode.com/problems/wildcard-matching/</x:v>
      </x:c>
      <x:c r="R341" s="80" t="str"/>
      <x:c r="S341" s="84" t="n">
        <x:f>IF(AND(OR(H341="Solved",H341="Revised"),G341="New (counts toward 400)"),1,0)</x:f>
        <x:v>0</x:v>
      </x:c>
    </x:row>
    <x:row r="342" ht="48" customHeight="1">
      <x:c r="A342" s="84" t="n">
        <x:v>339</x:v>
      </x:c>
      <x:c r="B342" s="84" t="n">
        <x:v>123</x:v>
      </x:c>
      <x:c r="C342" s="80" t="str">
        <x:v>Best Time to Buy and Sell Stock III</x:v>
      </x:c>
      <x:c r="D342" s="84" t="str">
        <x:v>Hard</x:v>
      </x:c>
      <x:c r="E342" s="84" t="str">
        <x:v>DP / State Machine</x:v>
      </x:c>
      <x:c r="F342" s="84" t="str">
        <x:v>P2</x:v>
      </x:c>
      <x:c r="G342" s="84" t="str">
        <x:v>New (counts toward 400)</x:v>
      </x:c>
      <x:c r="H342" s="84" t="str">
        <x:v>Not Started</x:v>
      </x:c>
      <x:c r="I342" s="80" t="str">
        <x:v>Enumerate candidates directly and compare them with the requirements.</x:v>
      </x:c>
      <x:c r="J342" s="80" t="str">
        <x:v>Identify the invariant/state, and avoid recomputing information already established.</x:v>
      </x:c>
      <x:c r="K342" s="80" t="str">
        <x:v>Pattern-dependent</x:v>
      </x:c>
      <x:c r="L342" s="80" t="str">
        <x:v>Pattern-dependent</x:v>
      </x:c>
      <x:c r="M342" s="84" t="n">
        <x:v>0</x:v>
      </x:c>
      <x:c r="N342" s="86"/>
      <x:c r="O342" s="84"/>
      <x:c r="P342" s="86"/>
      <x:c r="Q342" s="80" t="str">
        <x:v>https://leetcode.com/problems/best-time-to-buy-and-sell-stock-iii/</x:v>
      </x:c>
      <x:c r="R342" s="80" t="str"/>
      <x:c r="S342" s="84" t="n">
        <x:f>IF(AND(OR(H342="Solved",H342="Revised"),G342="New (counts toward 400)"),1,0)</x:f>
        <x:v>0</x:v>
      </x:c>
    </x:row>
    <x:row r="343" ht="48" customHeight="1">
      <x:c r="A343" s="84" t="n">
        <x:v>340</x:v>
      </x:c>
      <x:c r="B343" s="84" t="n">
        <x:v>188</x:v>
      </x:c>
      <x:c r="C343" s="80" t="str">
        <x:v>Best Time to Buy and Sell Stock IV</x:v>
      </x:c>
      <x:c r="D343" s="84" t="str">
        <x:v>Hard</x:v>
      </x:c>
      <x:c r="E343" s="84" t="str">
        <x:v>DP / State Machine</x:v>
      </x:c>
      <x:c r="F343" s="84" t="str">
        <x:v>P3</x:v>
      </x:c>
      <x:c r="G343" s="84" t="str">
        <x:v>New (counts toward 400)</x:v>
      </x:c>
      <x:c r="H343" s="84" t="str">
        <x:v>Not Started</x:v>
      </x:c>
      <x:c r="I343" s="80" t="str">
        <x:v>Enumerate candidates directly and compare them with the requirements.</x:v>
      </x:c>
      <x:c r="J343" s="80" t="str">
        <x:v>Identify the invariant/state, and avoid recomputing information already established.</x:v>
      </x:c>
      <x:c r="K343" s="80" t="str">
        <x:v>Pattern-dependent</x:v>
      </x:c>
      <x:c r="L343" s="80" t="str">
        <x:v>Pattern-dependent</x:v>
      </x:c>
      <x:c r="M343" s="84" t="n">
        <x:v>0</x:v>
      </x:c>
      <x:c r="N343" s="86"/>
      <x:c r="O343" s="84"/>
      <x:c r="P343" s="86"/>
      <x:c r="Q343" s="80" t="str">
        <x:v>https://leetcode.com/problems/best-time-to-buy-and-sell-stock-iv/</x:v>
      </x:c>
      <x:c r="R343" s="80" t="str"/>
      <x:c r="S343" s="84" t="n">
        <x:f>IF(AND(OR(H343="Solved",H343="Revised"),G343="New (counts toward 400)"),1,0)</x:f>
        <x:v>0</x:v>
      </x:c>
    </x:row>
    <x:row r="344" ht="48" customHeight="1">
      <x:c r="A344" s="84" t="n">
        <x:v>341</x:v>
      </x:c>
      <x:c r="B344" s="84" t="n">
        <x:v>309</x:v>
      </x:c>
      <x:c r="C344" s="80" t="str">
        <x:v>Best Time to Buy and Sell Stock with Cooldown</x:v>
      </x:c>
      <x:c r="D344" s="84" t="str">
        <x:v>Medium</x:v>
      </x:c>
      <x:c r="E344" s="84" t="str">
        <x:v>DP / State Machine</x:v>
      </x:c>
      <x:c r="F344" s="84" t="str">
        <x:v>P2</x:v>
      </x:c>
      <x:c r="G344" s="84" t="str">
        <x:v>New (counts toward 400)</x:v>
      </x:c>
      <x:c r="H344" s="84" t="str">
        <x:v>Not Started</x:v>
      </x:c>
      <x:c r="I344" s="80" t="str">
        <x:v>Enumerate candidates directly and compare them with the requirements.</x:v>
      </x:c>
      <x:c r="J344" s="80" t="str">
        <x:v>Identify the invariant/state, and avoid recomputing information already established.</x:v>
      </x:c>
      <x:c r="K344" s="80" t="str">
        <x:v>Pattern-dependent</x:v>
      </x:c>
      <x:c r="L344" s="80" t="str">
        <x:v>Pattern-dependent</x:v>
      </x:c>
      <x:c r="M344" s="84" t="n">
        <x:v>0</x:v>
      </x:c>
      <x:c r="N344" s="86"/>
      <x:c r="O344" s="84"/>
      <x:c r="P344" s="86"/>
      <x:c r="Q344" s="80" t="str">
        <x:v>https://leetcode.com/problems/best-time-to-buy-and-sell-stock-with-cooldown/</x:v>
      </x:c>
      <x:c r="R344" s="80" t="str"/>
      <x:c r="S344" s="84" t="n">
        <x:f>IF(AND(OR(H344="Solved",H344="Revised"),G344="New (counts toward 400)"),1,0)</x:f>
        <x:v>0</x:v>
      </x:c>
    </x:row>
    <x:row r="345" ht="48" customHeight="1">
      <x:c r="A345" s="84" t="n">
        <x:v>342</x:v>
      </x:c>
      <x:c r="B345" s="84" t="n">
        <x:v>714</x:v>
      </x:c>
      <x:c r="C345" s="80" t="str">
        <x:v>Best Time to Buy and Sell Stock with Transaction Fee</x:v>
      </x:c>
      <x:c r="D345" s="84" t="str">
        <x:v>Medium</x:v>
      </x:c>
      <x:c r="E345" s="84" t="str">
        <x:v>DP / State Machine</x:v>
      </x:c>
      <x:c r="F345" s="84" t="str">
        <x:v>P2</x:v>
      </x:c>
      <x:c r="G345" s="84" t="str">
        <x:v>New (counts toward 400)</x:v>
      </x:c>
      <x:c r="H345" s="84" t="str">
        <x:v>Not Started</x:v>
      </x:c>
      <x:c r="I345" s="80" t="str">
        <x:v>Enumerate candidates directly and compare them with the requirements.</x:v>
      </x:c>
      <x:c r="J345" s="80" t="str">
        <x:v>Identify the invariant/state, and avoid recomputing information already established.</x:v>
      </x:c>
      <x:c r="K345" s="80" t="str">
        <x:v>Pattern-dependent</x:v>
      </x:c>
      <x:c r="L345" s="80" t="str">
        <x:v>Pattern-dependent</x:v>
      </x:c>
      <x:c r="M345" s="84" t="n">
        <x:v>0</x:v>
      </x:c>
      <x:c r="N345" s="86"/>
      <x:c r="O345" s="84"/>
      <x:c r="P345" s="86"/>
      <x:c r="Q345" s="80" t="str">
        <x:v>https://leetcode.com/problems/best-time-to-buy-and-sell-stock-with-transaction-fee/</x:v>
      </x:c>
      <x:c r="R345" s="80" t="str"/>
      <x:c r="S345" s="84" t="n">
        <x:f>IF(AND(OR(H345="Solved",H345="Revised"),G345="New (counts toward 400)"),1,0)</x:f>
        <x:v>0</x:v>
      </x:c>
    </x:row>
    <x:row r="346" ht="48" customHeight="1">
      <x:c r="A346" s="84" t="n">
        <x:v>343</x:v>
      </x:c>
      <x:c r="B346" s="84" t="n">
        <x:v>132</x:v>
      </x:c>
      <x:c r="C346" s="80" t="str">
        <x:v>Palindrome Partitioning II</x:v>
      </x:c>
      <x:c r="D346" s="84" t="str">
        <x:v>Hard</x:v>
      </x:c>
      <x:c r="E346" s="84" t="str">
        <x:v>DP / Strings</x:v>
      </x:c>
      <x:c r="F346" s="84" t="str">
        <x:v>P3</x:v>
      </x:c>
      <x:c r="G346" s="84" t="str">
        <x:v>New (counts toward 400)</x:v>
      </x:c>
      <x:c r="H346" s="84" t="str">
        <x:v>Not Started</x:v>
      </x:c>
      <x:c r="I346" s="80" t="str">
        <x:v>Compare candidate substrings or repeatedly scan the input to determine the answer.</x:v>
      </x:c>
      <x:c r="J346" s="80" t="str">
        <x:v>Use character counts, a stack, two pointers, or a string-matching invariant suited to the operation.</x:v>
      </x:c>
      <x:c r="K346" s="80" t="str">
        <x:v>O(n) to O(n log n)</x:v>
      </x:c>
      <x:c r="L346" s="80" t="str">
        <x:v>O(n)</x:v>
      </x:c>
      <x:c r="M346" s="84" t="n">
        <x:v>0</x:v>
      </x:c>
      <x:c r="N346" s="86"/>
      <x:c r="O346" s="84"/>
      <x:c r="P346" s="86"/>
      <x:c r="Q346" s="80" t="str">
        <x:v>https://leetcode.com/problems/palindrome-partitioning-ii/</x:v>
      </x:c>
      <x:c r="R346" s="80" t="str"/>
      <x:c r="S346" s="84" t="n">
        <x:f>IF(AND(OR(H346="Solved",H346="Revised"),G346="New (counts toward 400)"),1,0)</x:f>
        <x:v>0</x:v>
      </x:c>
    </x:row>
    <x:row r="347" ht="48" customHeight="1">
      <x:c r="A347" s="84" t="n">
        <x:v>344</x:v>
      </x:c>
      <x:c r="B347" s="84" t="n">
        <x:v>174</x:v>
      </x:c>
      <x:c r="C347" s="80" t="str">
        <x:v>Dungeon Game</x:v>
      </x:c>
      <x:c r="D347" s="84" t="str">
        <x:v>Hard</x:v>
      </x:c>
      <x:c r="E347" s="84" t="str">
        <x:v>DP / Grid</x:v>
      </x:c>
      <x:c r="F347" s="84" t="str">
        <x:v>P3</x:v>
      </x:c>
      <x:c r="G347" s="84" t="str">
        <x:v>New (counts toward 400)</x:v>
      </x:c>
      <x:c r="H347" s="84" t="str">
        <x:v>Not Started</x:v>
      </x:c>
      <x:c r="I347" s="80" t="str">
        <x:v>Enumerate candidates directly and compare them with the requirements.</x:v>
      </x:c>
      <x:c r="J347" s="80" t="str">
        <x:v>Identify the invariant/state, and avoid recomputing information already established.</x:v>
      </x:c>
      <x:c r="K347" s="80" t="str">
        <x:v>Pattern-dependent</x:v>
      </x:c>
      <x:c r="L347" s="80" t="str">
        <x:v>Pattern-dependent</x:v>
      </x:c>
      <x:c r="M347" s="84" t="n">
        <x:v>0</x:v>
      </x:c>
      <x:c r="N347" s="86"/>
      <x:c r="O347" s="84"/>
      <x:c r="P347" s="86"/>
      <x:c r="Q347" s="80" t="str">
        <x:v>https://leetcode.com/problems/dungeon-game/</x:v>
      </x:c>
      <x:c r="R347" s="80" t="str"/>
      <x:c r="S347" s="84" t="n">
        <x:f>IF(AND(OR(H347="Solved",H347="Revised"),G347="New (counts toward 400)"),1,0)</x:f>
        <x:v>0</x:v>
      </x:c>
    </x:row>
    <x:row r="348" ht="48" customHeight="1">
      <x:c r="A348" s="84" t="n">
        <x:v>345</x:v>
      </x:c>
      <x:c r="B348" s="84" t="n">
        <x:v>1406</x:v>
      </x:c>
      <x:c r="C348" s="80" t="str">
        <x:v>Stone Game III</x:v>
      </x:c>
      <x:c r="D348" s="84" t="str">
        <x:v>Hard</x:v>
      </x:c>
      <x:c r="E348" s="84" t="str">
        <x:v>DP / Game Theory</x:v>
      </x:c>
      <x:c r="F348" s="84" t="str">
        <x:v>P3</x:v>
      </x:c>
      <x:c r="G348" s="84" t="str">
        <x:v>New (counts toward 400)</x:v>
      </x:c>
      <x:c r="H348" s="84" t="str">
        <x:v>Not Started</x:v>
      </x:c>
      <x:c r="I348" s="80" t="str">
        <x:v>Express choices recursively without memoization; repeated subproblems can make this exponential.</x:v>
      </x:c>
      <x:c r="J348" s="80" t="str">
        <x:v>Define state, base cases, and transition; memoize, then tabulate and compress dimensions if dependencies allow.</x:v>
      </x:c>
      <x:c r="K348" s="80" t="str">
        <x:v>O(states × transitions)</x:v>
      </x:c>
      <x:c r="L348" s="80" t="str">
        <x:v>O(number of states)</x:v>
      </x:c>
      <x:c r="M348" s="84" t="n">
        <x:v>0</x:v>
      </x:c>
      <x:c r="N348" s="86"/>
      <x:c r="O348" s="84"/>
      <x:c r="P348" s="86"/>
      <x:c r="Q348" s="80" t="str">
        <x:v>https://leetcode.com/problems/stone-game-iii/</x:v>
      </x:c>
      <x:c r="R348" s="80" t="str"/>
      <x:c r="S348" s="84" t="n">
        <x:f>IF(AND(OR(H348="Solved",H348="Revised"),G348="New (counts toward 400)"),1,0)</x:f>
        <x:v>0</x:v>
      </x:c>
    </x:row>
    <x:row r="349" ht="48" customHeight="1">
      <x:c r="A349" s="84" t="n">
        <x:v>346</x:v>
      </x:c>
      <x:c r="B349" s="84" t="n">
        <x:v>486</x:v>
      </x:c>
      <x:c r="C349" s="80" t="str">
        <x:v>Predict the Winner</x:v>
      </x:c>
      <x:c r="D349" s="84" t="str">
        <x:v>Medium</x:v>
      </x:c>
      <x:c r="E349" s="84" t="str">
        <x:v>DP / Game Theory</x:v>
      </x:c>
      <x:c r="F349" s="84" t="str">
        <x:v>P2</x:v>
      </x:c>
      <x:c r="G349" s="84" t="str">
        <x:v>New (counts toward 400)</x:v>
      </x:c>
      <x:c r="H349" s="84" t="str">
        <x:v>Not Started</x:v>
      </x:c>
      <x:c r="I349" s="80" t="str">
        <x:v>Express choices recursively without memoization; repeated subproblems can make this exponential.</x:v>
      </x:c>
      <x:c r="J349" s="80" t="str">
        <x:v>Define state, base cases, and transition; memoize, then tabulate and compress dimensions if dependencies allow.</x:v>
      </x:c>
      <x:c r="K349" s="80" t="str">
        <x:v>O(states × transitions)</x:v>
      </x:c>
      <x:c r="L349" s="80" t="str">
        <x:v>O(number of states)</x:v>
      </x:c>
      <x:c r="M349" s="84" t="n">
        <x:v>0</x:v>
      </x:c>
      <x:c r="N349" s="86"/>
      <x:c r="O349" s="84"/>
      <x:c r="P349" s="86"/>
      <x:c r="Q349" s="80" t="str">
        <x:v>https://leetcode.com/problems/predict-the-winner/</x:v>
      </x:c>
      <x:c r="R349" s="80" t="str"/>
      <x:c r="S349" s="84" t="n">
        <x:f>IF(AND(OR(H349="Solved",H349="Revised"),G349="New (counts toward 400)"),1,0)</x:f>
        <x:v>0</x:v>
      </x:c>
    </x:row>
    <x:row r="350" ht="48" customHeight="1">
      <x:c r="A350" s="84" t="n">
        <x:v>347</x:v>
      </x:c>
      <x:c r="B350" s="84" t="n">
        <x:v>877</x:v>
      </x:c>
      <x:c r="C350" s="80" t="str">
        <x:v>Stone Game</x:v>
      </x:c>
      <x:c r="D350" s="84" t="str">
        <x:v>Medium</x:v>
      </x:c>
      <x:c r="E350" s="84" t="str">
        <x:v>DP / Game Theory</x:v>
      </x:c>
      <x:c r="F350" s="84" t="str">
        <x:v>P2</x:v>
      </x:c>
      <x:c r="G350" s="84" t="str">
        <x:v>New (counts toward 400)</x:v>
      </x:c>
      <x:c r="H350" s="84" t="str">
        <x:v>Not Started</x:v>
      </x:c>
      <x:c r="I350" s="80" t="str">
        <x:v>Express choices recursively without memoization; repeated subproblems can make this exponential.</x:v>
      </x:c>
      <x:c r="J350" s="80" t="str">
        <x:v>Define state, base cases, and transition; memoize, then tabulate and compress dimensions if dependencies allow.</x:v>
      </x:c>
      <x:c r="K350" s="80" t="str">
        <x:v>O(states × transitions)</x:v>
      </x:c>
      <x:c r="L350" s="80" t="str">
        <x:v>O(number of states)</x:v>
      </x:c>
      <x:c r="M350" s="84" t="n">
        <x:v>0</x:v>
      </x:c>
      <x:c r="N350" s="86"/>
      <x:c r="O350" s="84"/>
      <x:c r="P350" s="86"/>
      <x:c r="Q350" s="80" t="str">
        <x:v>https://leetcode.com/problems/stone-game/</x:v>
      </x:c>
      <x:c r="R350" s="80" t="str"/>
      <x:c r="S350" s="84" t="n">
        <x:f>IF(AND(OR(H350="Solved",H350="Revised"),G350="New (counts toward 400)"),1,0)</x:f>
        <x:v>0</x:v>
      </x:c>
    </x:row>
    <x:row r="351" ht="48" customHeight="1">
      <x:c r="A351" s="84" t="n">
        <x:v>348</x:v>
      </x:c>
      <x:c r="B351" s="84" t="n">
        <x:v>1140</x:v>
      </x:c>
      <x:c r="C351" s="80" t="str">
        <x:v>Stone Game II</x:v>
      </x:c>
      <x:c r="D351" s="84" t="str">
        <x:v>Medium</x:v>
      </x:c>
      <x:c r="E351" s="84" t="str">
        <x:v>DP / Game Theory</x:v>
      </x:c>
      <x:c r="F351" s="84" t="str">
        <x:v>P3</x:v>
      </x:c>
      <x:c r="G351" s="84" t="str">
        <x:v>New (counts toward 400)</x:v>
      </x:c>
      <x:c r="H351" s="84" t="str">
        <x:v>Not Started</x:v>
      </x:c>
      <x:c r="I351" s="80" t="str">
        <x:v>Express choices recursively without memoization; repeated subproblems can make this exponential.</x:v>
      </x:c>
      <x:c r="J351" s="80" t="str">
        <x:v>Define state, base cases, and transition; memoize, then tabulate and compress dimensions if dependencies allow.</x:v>
      </x:c>
      <x:c r="K351" s="80" t="str">
        <x:v>O(states × transitions)</x:v>
      </x:c>
      <x:c r="L351" s="80" t="str">
        <x:v>O(number of states)</x:v>
      </x:c>
      <x:c r="M351" s="84" t="n">
        <x:v>0</x:v>
      </x:c>
      <x:c r="N351" s="86"/>
      <x:c r="O351" s="84"/>
      <x:c r="P351" s="86"/>
      <x:c r="Q351" s="80" t="str">
        <x:v>https://leetcode.com/problems/stone-game-ii/</x:v>
      </x:c>
      <x:c r="R351" s="80" t="str"/>
      <x:c r="S351" s="84" t="n">
        <x:f>IF(AND(OR(H351="Solved",H351="Revised"),G351="New (counts toward 400)"),1,0)</x:f>
        <x:v>0</x:v>
      </x:c>
    </x:row>
    <x:row r="352" ht="48" customHeight="1">
      <x:c r="A352" s="84" t="n">
        <x:v>349</x:v>
      </x:c>
      <x:c r="B352" s="84" t="n">
        <x:v>1035</x:v>
      </x:c>
      <x:c r="C352" s="80" t="str">
        <x:v>Uncrossed Lines</x:v>
      </x:c>
      <x:c r="D352" s="84" t="str">
        <x:v>Medium</x:v>
      </x:c>
      <x:c r="E352" s="84" t="str">
        <x:v>DP / LCS</x:v>
      </x:c>
      <x:c r="F352" s="84" t="str">
        <x:v>P2</x:v>
      </x:c>
      <x:c r="G352" s="84" t="str">
        <x:v>New (counts toward 400)</x:v>
      </x:c>
      <x:c r="H352" s="84" t="str">
        <x:v>Not Started</x:v>
      </x:c>
      <x:c r="I352" s="80" t="str">
        <x:v>Express choices recursively without memoization; repeated subproblems can make this exponential.</x:v>
      </x:c>
      <x:c r="J352" s="80" t="str">
        <x:v>Define state, base cases, and transition; memoize, then tabulate and compress dimensions if dependencies allow.</x:v>
      </x:c>
      <x:c r="K352" s="80" t="str">
        <x:v>O(states × transitions)</x:v>
      </x:c>
      <x:c r="L352" s="80" t="str">
        <x:v>O(number of states)</x:v>
      </x:c>
      <x:c r="M352" s="84" t="n">
        <x:v>0</x:v>
      </x:c>
      <x:c r="N352" s="86"/>
      <x:c r="O352" s="84"/>
      <x:c r="P352" s="86"/>
      <x:c r="Q352" s="80" t="str">
        <x:v>https://leetcode.com/problems/uncrossed-lines/</x:v>
      </x:c>
      <x:c r="R352" s="80" t="str"/>
      <x:c r="S352" s="84" t="n">
        <x:f>IF(AND(OR(H352="Solved",H352="Revised"),G352="New (counts toward 400)"),1,0)</x:f>
        <x:v>0</x:v>
      </x:c>
    </x:row>
    <x:row r="353" ht="48" customHeight="1">
      <x:c r="A353" s="84" t="n">
        <x:v>350</x:v>
      </x:c>
      <x:c r="B353" s="84" t="n">
        <x:v>1312</x:v>
      </x:c>
      <x:c r="C353" s="80" t="str">
        <x:v>Minimum Insertion Steps to Make a String Palindrome</x:v>
      </x:c>
      <x:c r="D353" s="84" t="str">
        <x:v>Hard</x:v>
      </x:c>
      <x:c r="E353" s="84" t="str">
        <x:v>DP / Strings</x:v>
      </x:c>
      <x:c r="F353" s="84" t="str">
        <x:v>P3</x:v>
      </x:c>
      <x:c r="G353" s="84" t="str">
        <x:v>New (counts toward 400)</x:v>
      </x:c>
      <x:c r="H353" s="84" t="str">
        <x:v>Not Started</x:v>
      </x:c>
      <x:c r="I353" s="80" t="str">
        <x:v>Compare candidate substrings or repeatedly scan the input to determine the answer.</x:v>
      </x:c>
      <x:c r="J353" s="80" t="str">
        <x:v>Use character counts, a stack, two pointers, or a string-matching invariant suited to the operation.</x:v>
      </x:c>
      <x:c r="K353" s="80" t="str">
        <x:v>O(n) to O(n log n)</x:v>
      </x:c>
      <x:c r="L353" s="80" t="str">
        <x:v>O(n)</x:v>
      </x:c>
      <x:c r="M353" s="84" t="n">
        <x:v>0</x:v>
      </x:c>
      <x:c r="N353" s="86"/>
      <x:c r="O353" s="84"/>
      <x:c r="P353" s="86"/>
      <x:c r="Q353" s="80" t="str">
        <x:v>https://leetcode.com/problems/minimum-insertion-steps-to-make-a-string-palindrome/</x:v>
      </x:c>
      <x:c r="R353" s="80" t="str"/>
      <x:c r="S353" s="84" t="n">
        <x:f>IF(AND(OR(H353="Solved",H353="Revised"),G353="New (counts toward 400)"),1,0)</x:f>
        <x:v>0</x:v>
      </x:c>
    </x:row>
    <x:row r="354" ht="48" customHeight="1">
      <x:c r="A354" s="84" t="n">
        <x:v>351</x:v>
      </x:c>
      <x:c r="B354" s="84" t="n">
        <x:v>208</x:v>
      </x:c>
      <x:c r="C354" s="80" t="str">
        <x:v>Implement Trie (Prefix Tree)</x:v>
      </x:c>
      <x:c r="D354" s="84" t="str">
        <x:v>Medium</x:v>
      </x:c>
      <x:c r="E354" s="84" t="str">
        <x:v>Trie</x:v>
      </x:c>
      <x:c r="F354" s="84" t="str">
        <x:v>P1</x:v>
      </x:c>
      <x:c r="G354" s="84" t="str">
        <x:v>New (counts toward 400)</x:v>
      </x:c>
      <x:c r="H354" s="84" t="str">
        <x:v>Not Started</x:v>
      </x:c>
      <x:c r="I354" s="80" t="str">
        <x:v>Scan every dictionary word for every prefix/query.</x:v>
      </x:c>
      <x:c r="J354" s="80" t="str">
        <x:v>Trie nodes store child links and an end-of-word flag; process one character per step.</x:v>
      </x:c>
      <x:c r="K354" s="80" t="str">
        <x:v>O(L) per operation</x:v>
      </x:c>
      <x:c r="L354" s="80" t="str">
        <x:v>O(total stored characters)</x:v>
      </x:c>
      <x:c r="M354" s="84" t="n">
        <x:v>0</x:v>
      </x:c>
      <x:c r="N354" s="86"/>
      <x:c r="O354" s="84"/>
      <x:c r="P354" s="86"/>
      <x:c r="Q354" s="80" t="str">
        <x:v>https://leetcode.com/problems/implement-trie-prefix-tree/</x:v>
      </x:c>
      <x:c r="R354" s="80" t="str"/>
      <x:c r="S354" s="84" t="n">
        <x:f>IF(AND(OR(H354="Solved",H354="Revised"),G354="New (counts toward 400)"),1,0)</x:f>
        <x:v>0</x:v>
      </x:c>
    </x:row>
    <x:row r="355" ht="48" customHeight="1">
      <x:c r="A355" s="84" t="n">
        <x:v>352</x:v>
      </x:c>
      <x:c r="B355" s="84" t="n">
        <x:v>211</x:v>
      </x:c>
      <x:c r="C355" s="80" t="str">
        <x:v>Design Add and Search Words Data Structure</x:v>
      </x:c>
      <x:c r="D355" s="84" t="str">
        <x:v>Medium</x:v>
      </x:c>
      <x:c r="E355" s="84" t="str">
        <x:v>Trie / DFS</x:v>
      </x:c>
      <x:c r="F355" s="84" t="str">
        <x:v>P2</x:v>
      </x:c>
      <x:c r="G355" s="84" t="str">
        <x:v>New (counts toward 400)</x:v>
      </x:c>
      <x:c r="H355" s="84" t="str">
        <x:v>Not Started</x:v>
      </x:c>
      <x:c r="I355" s="80" t="str">
        <x:v>Scan all stored strings for every prefix/query.</x:v>
      </x:c>
      <x:c r="J355" s="80" t="str">
        <x:v>Index prefixes by trie nodes and memoize repeated search states if needed.</x:v>
      </x:c>
      <x:c r="K355" s="80" t="str">
        <x:v>O(L) per operation typical</x:v>
      </x:c>
      <x:c r="L355" s="80" t="str">
        <x:v>O(total characters)</x:v>
      </x:c>
      <x:c r="M355" s="84" t="n">
        <x:v>0</x:v>
      </x:c>
      <x:c r="N355" s="86"/>
      <x:c r="O355" s="84"/>
      <x:c r="P355" s="86"/>
      <x:c r="Q355" s="80" t="str">
        <x:v>https://leetcode.com/problems/design-add-and-search-words-data-structure/</x:v>
      </x:c>
      <x:c r="R355" s="80" t="str"/>
      <x:c r="S355" s="84" t="n">
        <x:f>IF(AND(OR(H355="Solved",H355="Revised"),G355="New (counts toward 400)"),1,0)</x:f>
        <x:v>0</x:v>
      </x:c>
    </x:row>
    <x:row r="356" ht="48" customHeight="1">
      <x:c r="A356" s="84" t="n">
        <x:v>353</x:v>
      </x:c>
      <x:c r="B356" s="84" t="n">
        <x:v>648</x:v>
      </x:c>
      <x:c r="C356" s="80" t="str">
        <x:v>Replace Words</x:v>
      </x:c>
      <x:c r="D356" s="84" t="str">
        <x:v>Medium</x:v>
      </x:c>
      <x:c r="E356" s="84" t="str">
        <x:v>Trie</x:v>
      </x:c>
      <x:c r="F356" s="84" t="str">
        <x:v>P2</x:v>
      </x:c>
      <x:c r="G356" s="84" t="str">
        <x:v>New (counts toward 400)</x:v>
      </x:c>
      <x:c r="H356" s="84" t="str">
        <x:v>Not Started</x:v>
      </x:c>
      <x:c r="I356" s="80" t="str">
        <x:v>Scan all stored strings for every prefix/query.</x:v>
      </x:c>
      <x:c r="J356" s="80" t="str">
        <x:v>Index prefixes by trie nodes and memoize repeated search states if needed.</x:v>
      </x:c>
      <x:c r="K356" s="80" t="str">
        <x:v>O(L) per operation typical</x:v>
      </x:c>
      <x:c r="L356" s="80" t="str">
        <x:v>O(total characters)</x:v>
      </x:c>
      <x:c r="M356" s="84" t="n">
        <x:v>0</x:v>
      </x:c>
      <x:c r="N356" s="86"/>
      <x:c r="O356" s="84"/>
      <x:c r="P356" s="86"/>
      <x:c r="Q356" s="80" t="str">
        <x:v>https://leetcode.com/problems/replace-words/</x:v>
      </x:c>
      <x:c r="R356" s="80" t="str"/>
      <x:c r="S356" s="84" t="n">
        <x:f>IF(AND(OR(H356="Solved",H356="Revised"),G356="New (counts toward 400)"),1,0)</x:f>
        <x:v>0</x:v>
      </x:c>
    </x:row>
    <x:row r="357" ht="48" customHeight="1">
      <x:c r="A357" s="84" t="n">
        <x:v>354</x:v>
      </x:c>
      <x:c r="B357" s="84" t="n">
        <x:v>1268</x:v>
      </x:c>
      <x:c r="C357" s="80" t="str">
        <x:v>Search Suggestions System</x:v>
      </x:c>
      <x:c r="D357" s="84" t="str">
        <x:v>Medium</x:v>
      </x:c>
      <x:c r="E357" s="84" t="str">
        <x:v>Trie / Binary Search</x:v>
      </x:c>
      <x:c r="F357" s="84" t="str">
        <x:v>P2</x:v>
      </x:c>
      <x:c r="G357" s="84" t="str">
        <x:v>New (counts toward 400)</x:v>
      </x:c>
      <x:c r="H357" s="84" t="str">
        <x:v>Not Started</x:v>
      </x:c>
      <x:c r="I357" s="80" t="str">
        <x:v>Scan all candidates or test each possible answer.</x:v>
      </x:c>
      <x:c r="J357" s="80" t="str">
        <x:v>State the sorted/monotonic invariant and halve the interval; for answer search, define a feasibility check.</x:v>
      </x:c>
      <x:c r="K357" s="80" t="str">
        <x:v>O(log n) or O(n log range)</x:v>
      </x:c>
      <x:c r="L357" s="80" t="str">
        <x:v>O(1) extra</x:v>
      </x:c>
      <x:c r="M357" s="84" t="n">
        <x:v>0</x:v>
      </x:c>
      <x:c r="N357" s="86"/>
      <x:c r="O357" s="84"/>
      <x:c r="P357" s="86"/>
      <x:c r="Q357" s="80" t="str">
        <x:v>https://leetcode.com/problems/search-suggestions-system/</x:v>
      </x:c>
      <x:c r="R357" s="80" t="str"/>
      <x:c r="S357" s="84" t="n">
        <x:f>IF(AND(OR(H357="Solved",H357="Revised"),G357="New (counts toward 400)"),1,0)</x:f>
        <x:v>0</x:v>
      </x:c>
    </x:row>
    <x:row r="358" ht="48" customHeight="1">
      <x:c r="A358" s="84" t="n">
        <x:v>355</x:v>
      </x:c>
      <x:c r="B358" s="84" t="n">
        <x:v>677</x:v>
      </x:c>
      <x:c r="C358" s="80" t="str">
        <x:v>Map Sum Pairs</x:v>
      </x:c>
      <x:c r="D358" s="84" t="str">
        <x:v>Medium</x:v>
      </x:c>
      <x:c r="E358" s="84" t="str">
        <x:v>Trie / Design</x:v>
      </x:c>
      <x:c r="F358" s="84" t="str">
        <x:v>P3</x:v>
      </x:c>
      <x:c r="G358" s="84" t="str">
        <x:v>New (counts toward 400)</x:v>
      </x:c>
      <x:c r="H358" s="84" t="str">
        <x:v>Not Started</x:v>
      </x:c>
      <x:c r="I358" s="80" t="str">
        <x:v>Scan all stored strings for every prefix/query.</x:v>
      </x:c>
      <x:c r="J358" s="80" t="str">
        <x:v>Index prefixes by trie nodes and memoize repeated search states if needed.</x:v>
      </x:c>
      <x:c r="K358" s="80" t="str">
        <x:v>O(L) per operation typical</x:v>
      </x:c>
      <x:c r="L358" s="80" t="str">
        <x:v>O(total characters)</x:v>
      </x:c>
      <x:c r="M358" s="84" t="n">
        <x:v>0</x:v>
      </x:c>
      <x:c r="N358" s="86"/>
      <x:c r="O358" s="84"/>
      <x:c r="P358" s="86"/>
      <x:c r="Q358" s="80" t="str">
        <x:v>https://leetcode.com/problems/map-sum-pairs/</x:v>
      </x:c>
      <x:c r="R358" s="80" t="str"/>
      <x:c r="S358" s="84" t="n">
        <x:f>IF(AND(OR(H358="Solved",H358="Revised"),G358="New (counts toward 400)"),1,0)</x:f>
        <x:v>0</x:v>
      </x:c>
    </x:row>
    <x:row r="359" ht="48" customHeight="1">
      <x:c r="A359" s="84" t="n">
        <x:v>356</x:v>
      </x:c>
      <x:c r="B359" s="84" t="n">
        <x:v>720</x:v>
      </x:c>
      <x:c r="C359" s="80" t="str">
        <x:v>Longest Word in Dictionary</x:v>
      </x:c>
      <x:c r="D359" s="84" t="str">
        <x:v>Medium</x:v>
      </x:c>
      <x:c r="E359" s="84" t="str">
        <x:v>Trie / Sorting</x:v>
      </x:c>
      <x:c r="F359" s="84" t="str">
        <x:v>P3</x:v>
      </x:c>
      <x:c r="G359" s="84" t="str">
        <x:v>New (counts toward 400)</x:v>
      </x:c>
      <x:c r="H359" s="84" t="str">
        <x:v>Not Started</x:v>
      </x:c>
      <x:c r="I359" s="80" t="str">
        <x:v>Scan all stored strings for every prefix/query.</x:v>
      </x:c>
      <x:c r="J359" s="80" t="str">
        <x:v>Index prefixes by trie nodes and memoize repeated search states if needed.</x:v>
      </x:c>
      <x:c r="K359" s="80" t="str">
        <x:v>O(L) per operation typical</x:v>
      </x:c>
      <x:c r="L359" s="80" t="str">
        <x:v>O(total characters)</x:v>
      </x:c>
      <x:c r="M359" s="84" t="n">
        <x:v>0</x:v>
      </x:c>
      <x:c r="N359" s="86"/>
      <x:c r="O359" s="84"/>
      <x:c r="P359" s="86"/>
      <x:c r="Q359" s="80" t="str">
        <x:v>https://leetcode.com/problems/longest-word-in-dictionary/</x:v>
      </x:c>
      <x:c r="R359" s="80" t="str"/>
      <x:c r="S359" s="84" t="n">
        <x:f>IF(AND(OR(H359="Solved",H359="Revised"),G359="New (counts toward 400)"),1,0)</x:f>
        <x:v>0</x:v>
      </x:c>
    </x:row>
    <x:row r="360" ht="48" customHeight="1">
      <x:c r="A360" s="84" t="n">
        <x:v>357</x:v>
      </x:c>
      <x:c r="B360" s="84" t="n">
        <x:v>588</x:v>
      </x:c>
      <x:c r="C360" s="80" t="str">
        <x:v>Design In-Memory File System</x:v>
      </x:c>
      <x:c r="D360" s="84" t="str">
        <x:v>Hard</x:v>
      </x:c>
      <x:c r="E360" s="84" t="str">
        <x:v>Trie / Design</x:v>
      </x:c>
      <x:c r="F360" s="84" t="str">
        <x:v>P3</x:v>
      </x:c>
      <x:c r="G360" s="84" t="str">
        <x:v>New (counts toward 400)</x:v>
      </x:c>
      <x:c r="H360" s="84" t="str">
        <x:v>Not Started</x:v>
      </x:c>
      <x:c r="I360" s="80" t="str">
        <x:v>Scan all stored strings for every prefix/query.</x:v>
      </x:c>
      <x:c r="J360" s="80" t="str">
        <x:v>Index prefixes by trie nodes and memoize repeated search states if needed.</x:v>
      </x:c>
      <x:c r="K360" s="80" t="str">
        <x:v>O(L) per operation typical</x:v>
      </x:c>
      <x:c r="L360" s="80" t="str">
        <x:v>O(total characters)</x:v>
      </x:c>
      <x:c r="M360" s="84" t="n">
        <x:v>0</x:v>
      </x:c>
      <x:c r="N360" s="86"/>
      <x:c r="O360" s="84"/>
      <x:c r="P360" s="86"/>
      <x:c r="Q360" s="80" t="str">
        <x:v>https://leetcode.com/problems/design-in-memory-file-system/</x:v>
      </x:c>
      <x:c r="R360" s="80" t="str"/>
      <x:c r="S360" s="84" t="n">
        <x:f>IF(AND(OR(H360="Solved",H360="Revised"),G360="New (counts toward 400)"),1,0)</x:f>
        <x:v>0</x:v>
      </x:c>
    </x:row>
    <x:row r="361" ht="48" customHeight="1">
      <x:c r="A361" s="84" t="n">
        <x:v>358</x:v>
      </x:c>
      <x:c r="B361" s="84" t="n">
        <x:v>380</x:v>
      </x:c>
      <x:c r="C361" s="80" t="str">
        <x:v>Insert Delete GetRandom O(1)</x:v>
      </x:c>
      <x:c r="D361" s="84" t="str">
        <x:v>Medium</x:v>
      </x:c>
      <x:c r="E361" s="84" t="str">
        <x:v>Design / Hashing</x:v>
      </x:c>
      <x:c r="F361" s="84" t="str">
        <x:v>P1</x:v>
      </x:c>
      <x:c r="G361" s="84" t="str">
        <x:v>New (counts toward 400)</x:v>
      </x:c>
      <x:c r="H361" s="84" t="str">
        <x:v>Not Started</x:v>
      </x:c>
      <x:c r="I361" s="80" t="str">
        <x:v>Use a list and linearly search/removal for deletions.</x:v>
      </x:c>
      <x:c r="J361" s="80" t="str">
        <x:v>Vector + value-to-index hash map; delete by swapping with the final vector element.</x:v>
      </x:c>
      <x:c r="K361" s="80" t="str">
        <x:v>O(1) average per operation</x:v>
      </x:c>
      <x:c r="L361" s="80" t="str">
        <x:v>O(n)</x:v>
      </x:c>
      <x:c r="M361" s="84" t="n">
        <x:v>0</x:v>
      </x:c>
      <x:c r="N361" s="86"/>
      <x:c r="O361" s="84"/>
      <x:c r="P361" s="86"/>
      <x:c r="Q361" s="80" t="str">
        <x:v>https://leetcode.com/problems/insert-delete-getrandom-o1/</x:v>
      </x:c>
      <x:c r="R361" s="80" t="str"/>
      <x:c r="S361" s="84" t="n">
        <x:f>IF(AND(OR(H361="Solved",H361="Revised"),G361="New (counts toward 400)"),1,0)</x:f>
        <x:v>0</x:v>
      </x:c>
    </x:row>
    <x:row r="362" ht="48" customHeight="1">
      <x:c r="A362" s="84" t="n">
        <x:v>359</x:v>
      </x:c>
      <x:c r="B362" s="84" t="n">
        <x:v>381</x:v>
      </x:c>
      <x:c r="C362" s="80" t="str">
        <x:v>Insert Delete GetRandom O(1) - Duplicates allowed</x:v>
      </x:c>
      <x:c r="D362" s="84" t="str">
        <x:v>Hard</x:v>
      </x:c>
      <x:c r="E362" s="84" t="str">
        <x:v>Design / Hashing</x:v>
      </x:c>
      <x:c r="F362" s="84" t="str">
        <x:v>P3</x:v>
      </x:c>
      <x:c r="G362" s="84" t="str">
        <x:v>New (counts toward 400)</x:v>
      </x:c>
      <x:c r="H362" s="84" t="str">
        <x:v>Not Started</x:v>
      </x:c>
      <x:c r="I362" s="80" t="str">
        <x:v>Use a simple collection and linearly scan when an operation occurs.</x:v>
      </x:c>
      <x:c r="J362" s="80" t="str">
        <x:v>Select structures to match operations: hash map for lookup, doubly linked list for recency, heap for ordered extraction.</x:v>
      </x:c>
      <x:c r="K362" s="80" t="str">
        <x:v>O(1) average or O(log n) per operation</x:v>
      </x:c>
      <x:c r="L362" s="80" t="str">
        <x:v>O(n)</x:v>
      </x:c>
      <x:c r="M362" s="84" t="n">
        <x:v>0</x:v>
      </x:c>
      <x:c r="N362" s="86"/>
      <x:c r="O362" s="84"/>
      <x:c r="P362" s="86"/>
      <x:c r="Q362" s="80" t="str">
        <x:v>https://leetcode.com/problems/insert-delete-getrandom-o1-duplicates-allowed/</x:v>
      </x:c>
      <x:c r="R362" s="80" t="str"/>
      <x:c r="S362" s="84" t="n">
        <x:f>IF(AND(OR(H362="Solved",H362="Revised"),G362="New (counts toward 400)"),1,0)</x:f>
        <x:v>0</x:v>
      </x:c>
    </x:row>
    <x:row r="363" ht="48" customHeight="1">
      <x:c r="A363" s="84" t="n">
        <x:v>360</x:v>
      </x:c>
      <x:c r="B363" s="84" t="n">
        <x:v>1472</x:v>
      </x:c>
      <x:c r="C363" s="80" t="str">
        <x:v>Design Browser History</x:v>
      </x:c>
      <x:c r="D363" s="84" t="str">
        <x:v>Medium</x:v>
      </x:c>
      <x:c r="E363" s="84" t="str">
        <x:v>Design / Doubly Linked List</x:v>
      </x:c>
      <x:c r="F363" s="84" t="str">
        <x:v>P2</x:v>
      </x:c>
      <x:c r="G363" s="84" t="str">
        <x:v>New (counts toward 400)</x:v>
      </x:c>
      <x:c r="H363" s="84" t="str">
        <x:v>Not Started</x:v>
      </x:c>
      <x:c r="I363" s="80" t="str">
        <x:v>Use repeated scans or extra containers to locate and organize nodes.</x:v>
      </x:c>
      <x:c r="J363" s="80" t="str">
        <x:v>Use a dummy node, careful pointer rewiring, and/or fast-slow pointers; save next before rewiring.</x:v>
      </x:c>
      <x:c r="K363" s="80" t="str">
        <x:v>O(n) typical</x:v>
      </x:c>
      <x:c r="L363" s="80" t="str">
        <x:v>O(1) extra when possible</x:v>
      </x:c>
      <x:c r="M363" s="84" t="n">
        <x:v>0</x:v>
      </x:c>
      <x:c r="N363" s="86"/>
      <x:c r="O363" s="84"/>
      <x:c r="P363" s="86"/>
      <x:c r="Q363" s="80" t="str">
        <x:v>https://leetcode.com/problems/design-browser-history/</x:v>
      </x:c>
      <x:c r="R363" s="80" t="str"/>
      <x:c r="S363" s="84" t="n">
        <x:f>IF(AND(OR(H363="Solved",H363="Revised"),G363="New (counts toward 400)"),1,0)</x:f>
        <x:v>0</x:v>
      </x:c>
    </x:row>
    <x:row r="364" ht="48" customHeight="1">
      <x:c r="A364" s="84" t="n">
        <x:v>361</x:v>
      </x:c>
      <x:c r="B364" s="84" t="n">
        <x:v>1656</x:v>
      </x:c>
      <x:c r="C364" s="80" t="str">
        <x:v>Design an Ordered Stream</x:v>
      </x:c>
      <x:c r="D364" s="84" t="str">
        <x:v>Easy</x:v>
      </x:c>
      <x:c r="E364" s="84" t="str">
        <x:v>Design / Array</x:v>
      </x:c>
      <x:c r="F364" s="84" t="str">
        <x:v>P3</x:v>
      </x:c>
      <x:c r="G364" s="84" t="str">
        <x:v>New (counts toward 400)</x:v>
      </x:c>
      <x:c r="H364" s="84" t="str">
        <x:v>Not Started</x:v>
      </x:c>
      <x:c r="I364" s="80" t="str">
        <x:v>Use a simple collection and linearly scan when an operation occurs.</x:v>
      </x:c>
      <x:c r="J364" s="80" t="str">
        <x:v>Select structures to match operations: hash map for lookup, doubly linked list for recency, heap for ordered extraction.</x:v>
      </x:c>
      <x:c r="K364" s="80" t="str">
        <x:v>O(1) average or O(log n) per operation</x:v>
      </x:c>
      <x:c r="L364" s="80" t="str">
        <x:v>O(n)</x:v>
      </x:c>
      <x:c r="M364" s="84" t="n">
        <x:v>0</x:v>
      </x:c>
      <x:c r="N364" s="86"/>
      <x:c r="O364" s="84"/>
      <x:c r="P364" s="86"/>
      <x:c r="Q364" s="80" t="str">
        <x:v>https://leetcode.com/problems/design-an-ordered-stream/</x:v>
      </x:c>
      <x:c r="R364" s="80" t="str"/>
      <x:c r="S364" s="84" t="n">
        <x:f>IF(AND(OR(H364="Solved",H364="Revised"),G364="New (counts toward 400)"),1,0)</x:f>
        <x:v>0</x:v>
      </x:c>
    </x:row>
    <x:row r="365" ht="48" customHeight="1">
      <x:c r="A365" s="84" t="n">
        <x:v>362</x:v>
      </x:c>
      <x:c r="B365" s="84" t="n">
        <x:v>1396</x:v>
      </x:c>
      <x:c r="C365" s="80" t="str">
        <x:v>Design Underground System</x:v>
      </x:c>
      <x:c r="D365" s="84" t="str">
        <x:v>Medium</x:v>
      </x:c>
      <x:c r="E365" s="84" t="str">
        <x:v>Design / Hashing</x:v>
      </x:c>
      <x:c r="F365" s="84" t="str">
        <x:v>P2</x:v>
      </x:c>
      <x:c r="G365" s="84" t="str">
        <x:v>New (counts toward 400)</x:v>
      </x:c>
      <x:c r="H365" s="84" t="str">
        <x:v>Not Started</x:v>
      </x:c>
      <x:c r="I365" s="80" t="str">
        <x:v>Use a simple collection and linearly scan when an operation occurs.</x:v>
      </x:c>
      <x:c r="J365" s="80" t="str">
        <x:v>Select structures to match operations: hash map for lookup, doubly linked list for recency, heap for ordered extraction.</x:v>
      </x:c>
      <x:c r="K365" s="80" t="str">
        <x:v>O(1) average or O(log n) per operation</x:v>
      </x:c>
      <x:c r="L365" s="80" t="str">
        <x:v>O(n)</x:v>
      </x:c>
      <x:c r="M365" s="84" t="n">
        <x:v>0</x:v>
      </x:c>
      <x:c r="N365" s="86"/>
      <x:c r="O365" s="84"/>
      <x:c r="P365" s="86"/>
      <x:c r="Q365" s="80" t="str">
        <x:v>https://leetcode.com/problems/design-underground-system/</x:v>
      </x:c>
      <x:c r="R365" s="80" t="str"/>
      <x:c r="S365" s="84" t="n">
        <x:f>IF(AND(OR(H365="Solved",H365="Revised"),G365="New (counts toward 400)"),1,0)</x:f>
        <x:v>0</x:v>
      </x:c>
    </x:row>
    <x:row r="366" ht="48" customHeight="1">
      <x:c r="A366" s="84" t="n">
        <x:v>363</x:v>
      </x:c>
      <x:c r="B366" s="84" t="n">
        <x:v>191</x:v>
      </x:c>
      <x:c r="C366" s="80" t="str">
        <x:v>Number of 1 Bits</x:v>
      </x:c>
      <x:c r="D366" s="84" t="str">
        <x:v>Easy</x:v>
      </x:c>
      <x:c r="E366" s="84" t="str">
        <x:v>Bit Manipulation</x:v>
      </x:c>
      <x:c r="F366" s="84" t="str">
        <x:v>P2</x:v>
      </x:c>
      <x:c r="G366" s="84" t="str">
        <x:v>New (counts toward 400)</x:v>
      </x:c>
      <x:c r="H366" s="84" t="str">
        <x:v>Not Started</x:v>
      </x:c>
      <x:c r="I366" s="80" t="str">
        <x:v>Try candidate values or simulate operations directly, checking bits/digits as needed.</x:v>
      </x:c>
      <x:c r="J366" s="80" t="str">
        <x:v>Use arithmetic/bit invariants (XOR, masks, modular arithmetic) or a sieve for many prime queries.</x:v>
      </x:c>
      <x:c r="K366" s="80" t="str">
        <x:v>O(log n) to O(n log log n)</x:v>
      </x:c>
      <x:c r="L366" s="80" t="str">
        <x:v>O(1) to O(n)</x:v>
      </x:c>
      <x:c r="M366" s="84" t="n">
        <x:v>0</x:v>
      </x:c>
      <x:c r="N366" s="86"/>
      <x:c r="O366" s="84"/>
      <x:c r="P366" s="86"/>
      <x:c r="Q366" s="80" t="str">
        <x:v>https://leetcode.com/problems/number-of-1-bits/</x:v>
      </x:c>
      <x:c r="R366" s="80" t="str"/>
      <x:c r="S366" s="84" t="n">
        <x:f>IF(AND(OR(H366="Solved",H366="Revised"),G366="New (counts toward 400)"),1,0)</x:f>
        <x:v>0</x:v>
      </x:c>
    </x:row>
    <x:row r="367" ht="48" customHeight="1">
      <x:c r="A367" s="84" t="n">
        <x:v>364</x:v>
      </x:c>
      <x:c r="B367" s="84" t="n">
        <x:v>338</x:v>
      </x:c>
      <x:c r="C367" s="80" t="str">
        <x:v>Counting Bits</x:v>
      </x:c>
      <x:c r="D367" s="84" t="str">
        <x:v>Easy</x:v>
      </x:c>
      <x:c r="E367" s="84" t="str">
        <x:v>Bit Manipulation / DP</x:v>
      </x:c>
      <x:c r="F367" s="84" t="str">
        <x:v>P1</x:v>
      </x:c>
      <x:c r="G367" s="84" t="str">
        <x:v>New (counts toward 400)</x:v>
      </x:c>
      <x:c r="H367" s="84" t="str">
        <x:v>Not Started</x:v>
      </x:c>
      <x:c r="I367" s="80" t="str">
        <x:v>Express choices recursively without memoization; repeated subproblems can make this exponential.</x:v>
      </x:c>
      <x:c r="J367" s="80" t="str">
        <x:v>Define state, base cases, and transition; memoize, then tabulate and compress dimensions if dependencies allow.</x:v>
      </x:c>
      <x:c r="K367" s="80" t="str">
        <x:v>O(states × transitions)</x:v>
      </x:c>
      <x:c r="L367" s="80" t="str">
        <x:v>O(number of states)</x:v>
      </x:c>
      <x:c r="M367" s="84" t="n">
        <x:v>0</x:v>
      </x:c>
      <x:c r="N367" s="86"/>
      <x:c r="O367" s="84"/>
      <x:c r="P367" s="86"/>
      <x:c r="Q367" s="80" t="str">
        <x:v>https://leetcode.com/problems/counting-bits/</x:v>
      </x:c>
      <x:c r="R367" s="80" t="str"/>
      <x:c r="S367" s="84" t="n">
        <x:f>IF(AND(OR(H367="Solved",H367="Revised"),G367="New (counts toward 400)"),1,0)</x:f>
        <x:v>0</x:v>
      </x:c>
    </x:row>
    <x:row r="368" ht="48" customHeight="1">
      <x:c r="A368" s="84" t="n">
        <x:v>365</x:v>
      </x:c>
      <x:c r="B368" s="84" t="n">
        <x:v>190</x:v>
      </x:c>
      <x:c r="C368" s="80" t="str">
        <x:v>Reverse Bits</x:v>
      </x:c>
      <x:c r="D368" s="84" t="str">
        <x:v>Easy</x:v>
      </x:c>
      <x:c r="E368" s="84" t="str">
        <x:v>Bit Manipulation</x:v>
      </x:c>
      <x:c r="F368" s="84" t="str">
        <x:v>P3</x:v>
      </x:c>
      <x:c r="G368" s="84" t="str">
        <x:v>New (counts toward 400)</x:v>
      </x:c>
      <x:c r="H368" s="84" t="str">
        <x:v>Not Started</x:v>
      </x:c>
      <x:c r="I368" s="80" t="str">
        <x:v>Try candidate values or simulate operations directly, checking bits/digits as needed.</x:v>
      </x:c>
      <x:c r="J368" s="80" t="str">
        <x:v>Use arithmetic/bit invariants (XOR, masks, modular arithmetic) or a sieve for many prime queries.</x:v>
      </x:c>
      <x:c r="K368" s="80" t="str">
        <x:v>O(log n) to O(n log log n)</x:v>
      </x:c>
      <x:c r="L368" s="80" t="str">
        <x:v>O(1) to O(n)</x:v>
      </x:c>
      <x:c r="M368" s="84" t="n">
        <x:v>0</x:v>
      </x:c>
      <x:c r="N368" s="86"/>
      <x:c r="O368" s="84"/>
      <x:c r="P368" s="86"/>
      <x:c r="Q368" s="80" t="str">
        <x:v>https://leetcode.com/problems/reverse-bits/</x:v>
      </x:c>
      <x:c r="R368" s="80" t="str"/>
      <x:c r="S368" s="84" t="n">
        <x:f>IF(AND(OR(H368="Solved",H368="Revised"),G368="New (counts toward 400)"),1,0)</x:f>
        <x:v>0</x:v>
      </x:c>
    </x:row>
    <x:row r="369" ht="48" customHeight="1">
      <x:c r="A369" s="84" t="n">
        <x:v>366</x:v>
      </x:c>
      <x:c r="B369" s="84" t="n">
        <x:v>371</x:v>
      </x:c>
      <x:c r="C369" s="80" t="str">
        <x:v>Sum of Two Integers</x:v>
      </x:c>
      <x:c r="D369" s="84" t="str">
        <x:v>Medium</x:v>
      </x:c>
      <x:c r="E369" s="84" t="str">
        <x:v>Bit Manipulation</x:v>
      </x:c>
      <x:c r="F369" s="84" t="str">
        <x:v>P2</x:v>
      </x:c>
      <x:c r="G369" s="84" t="str">
        <x:v>New (counts toward 400)</x:v>
      </x:c>
      <x:c r="H369" s="84" t="str">
        <x:v>Not Started</x:v>
      </x:c>
      <x:c r="I369" s="80" t="str">
        <x:v>Try candidate values or simulate operations directly, checking bits/digits as needed.</x:v>
      </x:c>
      <x:c r="J369" s="80" t="str">
        <x:v>Use arithmetic/bit invariants (XOR, masks, modular arithmetic) or a sieve for many prime queries.</x:v>
      </x:c>
      <x:c r="K369" s="80" t="str">
        <x:v>O(log n) to O(n log log n)</x:v>
      </x:c>
      <x:c r="L369" s="80" t="str">
        <x:v>O(1) to O(n)</x:v>
      </x:c>
      <x:c r="M369" s="84" t="n">
        <x:v>0</x:v>
      </x:c>
      <x:c r="N369" s="86"/>
      <x:c r="O369" s="84"/>
      <x:c r="P369" s="86"/>
      <x:c r="Q369" s="80" t="str">
        <x:v>https://leetcode.com/problems/sum-of-two-integers/</x:v>
      </x:c>
      <x:c r="R369" s="80" t="str"/>
      <x:c r="S369" s="84" t="n">
        <x:f>IF(AND(OR(H369="Solved",H369="Revised"),G369="New (counts toward 400)"),1,0)</x:f>
        <x:v>0</x:v>
      </x:c>
    </x:row>
    <x:row r="370" ht="48" customHeight="1">
      <x:c r="A370" s="84" t="n">
        <x:v>367</x:v>
      </x:c>
      <x:c r="B370" s="84" t="n">
        <x:v>268</x:v>
      </x:c>
      <x:c r="C370" s="80" t="str">
        <x:v>Missing Number</x:v>
      </x:c>
      <x:c r="D370" s="84" t="str">
        <x:v>Easy</x:v>
      </x:c>
      <x:c r="E370" s="84" t="str">
        <x:v>Bit Manipulation / Math</x:v>
      </x:c>
      <x:c r="F370" s="84" t="str">
        <x:v>P1</x:v>
      </x:c>
      <x:c r="G370" s="84" t="str">
        <x:v>New (counts toward 400)</x:v>
      </x:c>
      <x:c r="H370" s="84" t="str">
        <x:v>Not Started</x:v>
      </x:c>
      <x:c r="I370" s="80" t="str">
        <x:v>Try candidate values or simulate operations directly, checking bits/digits as needed.</x:v>
      </x:c>
      <x:c r="J370" s="80" t="str">
        <x:v>Use arithmetic/bit invariants (XOR, masks, modular arithmetic) or a sieve for many prime queries.</x:v>
      </x:c>
      <x:c r="K370" s="80" t="str">
        <x:v>O(log n) to O(n log log n)</x:v>
      </x:c>
      <x:c r="L370" s="80" t="str">
        <x:v>O(1) to O(n)</x:v>
      </x:c>
      <x:c r="M370" s="84" t="n">
        <x:v>0</x:v>
      </x:c>
      <x:c r="N370" s="86"/>
      <x:c r="O370" s="84"/>
      <x:c r="P370" s="86"/>
      <x:c r="Q370" s="80" t="str">
        <x:v>https://leetcode.com/problems/missing-number/</x:v>
      </x:c>
      <x:c r="R370" s="80" t="str"/>
      <x:c r="S370" s="84" t="n">
        <x:f>IF(AND(OR(H370="Solved",H370="Revised"),G370="New (counts toward 400)"),1,0)</x:f>
        <x:v>0</x:v>
      </x:c>
    </x:row>
    <x:row r="371" ht="48" customHeight="1">
      <x:c r="A371" s="84" t="n">
        <x:v>368</x:v>
      </x:c>
      <x:c r="B371" s="84" t="n">
        <x:v>231</x:v>
      </x:c>
      <x:c r="C371" s="80" t="str">
        <x:v>Power of Two</x:v>
      </x:c>
      <x:c r="D371" s="84" t="str">
        <x:v>Easy</x:v>
      </x:c>
      <x:c r="E371" s="84" t="str">
        <x:v>Bit Manipulation</x:v>
      </x:c>
      <x:c r="F371" s="84" t="str">
        <x:v>P2</x:v>
      </x:c>
      <x:c r="G371" s="84" t="str">
        <x:v>New (counts toward 400)</x:v>
      </x:c>
      <x:c r="H371" s="84" t="str">
        <x:v>Not Started</x:v>
      </x:c>
      <x:c r="I371" s="80" t="str">
        <x:v>Try candidate values or simulate operations directly, checking bits/digits as needed.</x:v>
      </x:c>
      <x:c r="J371" s="80" t="str">
        <x:v>Use arithmetic/bit invariants (XOR, masks, modular arithmetic) or a sieve for many prime queries.</x:v>
      </x:c>
      <x:c r="K371" s="80" t="str">
        <x:v>O(log n) to O(n log log n)</x:v>
      </x:c>
      <x:c r="L371" s="80" t="str">
        <x:v>O(1) to O(n)</x:v>
      </x:c>
      <x:c r="M371" s="84" t="n">
        <x:v>0</x:v>
      </x:c>
      <x:c r="N371" s="86"/>
      <x:c r="O371" s="84"/>
      <x:c r="P371" s="86"/>
      <x:c r="Q371" s="80" t="str">
        <x:v>https://leetcode.com/problems/power-of-two/</x:v>
      </x:c>
      <x:c r="R371" s="80" t="str"/>
      <x:c r="S371" s="84" t="n">
        <x:f>IF(AND(OR(H371="Solved",H371="Revised"),G371="New (counts toward 400)"),1,0)</x:f>
        <x:v>0</x:v>
      </x:c>
    </x:row>
    <x:row r="372" ht="48" customHeight="1">
      <x:c r="A372" s="84" t="n">
        <x:v>369</x:v>
      </x:c>
      <x:c r="B372" s="84" t="n">
        <x:v>342</x:v>
      </x:c>
      <x:c r="C372" s="80" t="str">
        <x:v>Power of Four</x:v>
      </x:c>
      <x:c r="D372" s="84" t="str">
        <x:v>Easy</x:v>
      </x:c>
      <x:c r="E372" s="84" t="str">
        <x:v>Bit Manipulation</x:v>
      </x:c>
      <x:c r="F372" s="84" t="str">
        <x:v>P3</x:v>
      </x:c>
      <x:c r="G372" s="84" t="str">
        <x:v>New (counts toward 400)</x:v>
      </x:c>
      <x:c r="H372" s="84" t="str">
        <x:v>Not Started</x:v>
      </x:c>
      <x:c r="I372" s="80" t="str">
        <x:v>Try candidate values or simulate operations directly, checking bits/digits as needed.</x:v>
      </x:c>
      <x:c r="J372" s="80" t="str">
        <x:v>Use arithmetic/bit invariants (XOR, masks, modular arithmetic) or a sieve for many prime queries.</x:v>
      </x:c>
      <x:c r="K372" s="80" t="str">
        <x:v>O(log n) to O(n log log n)</x:v>
      </x:c>
      <x:c r="L372" s="80" t="str">
        <x:v>O(1) to O(n)</x:v>
      </x:c>
      <x:c r="M372" s="84" t="n">
        <x:v>0</x:v>
      </x:c>
      <x:c r="N372" s="86"/>
      <x:c r="O372" s="84"/>
      <x:c r="P372" s="86"/>
      <x:c r="Q372" s="80" t="str">
        <x:v>https://leetcode.com/problems/power-of-four/</x:v>
      </x:c>
      <x:c r="R372" s="80" t="str"/>
      <x:c r="S372" s="84" t="n">
        <x:f>IF(AND(OR(H372="Solved",H372="Revised"),G372="New (counts toward 400)"),1,0)</x:f>
        <x:v>0</x:v>
      </x:c>
    </x:row>
    <x:row r="373" ht="48" customHeight="1">
      <x:c r="A373" s="84" t="n">
        <x:v>370</x:v>
      </x:c>
      <x:c r="B373" s="84" t="n">
        <x:v>201</x:v>
      </x:c>
      <x:c r="C373" s="80" t="str">
        <x:v>Bitwise AND of Numbers Range</x:v>
      </x:c>
      <x:c r="D373" s="84" t="str">
        <x:v>Medium</x:v>
      </x:c>
      <x:c r="E373" s="84" t="str">
        <x:v>Bit Manipulation</x:v>
      </x:c>
      <x:c r="F373" s="84" t="str">
        <x:v>P2</x:v>
      </x:c>
      <x:c r="G373" s="84" t="str">
        <x:v>New (counts toward 400)</x:v>
      </x:c>
      <x:c r="H373" s="84" t="str">
        <x:v>Not Started</x:v>
      </x:c>
      <x:c r="I373" s="80" t="str">
        <x:v>Try candidate values or simulate operations directly, checking bits/digits as needed.</x:v>
      </x:c>
      <x:c r="J373" s="80" t="str">
        <x:v>Use arithmetic/bit invariants (XOR, masks, modular arithmetic) or a sieve for many prime queries.</x:v>
      </x:c>
      <x:c r="K373" s="80" t="str">
        <x:v>O(log n) to O(n log log n)</x:v>
      </x:c>
      <x:c r="L373" s="80" t="str">
        <x:v>O(1) to O(n)</x:v>
      </x:c>
      <x:c r="M373" s="84" t="n">
        <x:v>0</x:v>
      </x:c>
      <x:c r="N373" s="86"/>
      <x:c r="O373" s="84"/>
      <x:c r="P373" s="86"/>
      <x:c r="Q373" s="80" t="str">
        <x:v>https://leetcode.com/problems/bitwise-and-of-numbers-range/</x:v>
      </x:c>
      <x:c r="R373" s="80" t="str"/>
      <x:c r="S373" s="84" t="n">
        <x:f>IF(AND(OR(H373="Solved",H373="Revised"),G373="New (counts toward 400)"),1,0)</x:f>
        <x:v>0</x:v>
      </x:c>
    </x:row>
    <x:row r="374" ht="48" customHeight="1">
      <x:c r="A374" s="84" t="n">
        <x:v>371</x:v>
      </x:c>
      <x:c r="B374" s="84" t="n">
        <x:v>260</x:v>
      </x:c>
      <x:c r="C374" s="80" t="str">
        <x:v>Single Number III</x:v>
      </x:c>
      <x:c r="D374" s="84" t="str">
        <x:v>Medium</x:v>
      </x:c>
      <x:c r="E374" s="84" t="str">
        <x:v>Bit Manipulation</x:v>
      </x:c>
      <x:c r="F374" s="84" t="str">
        <x:v>P2</x:v>
      </x:c>
      <x:c r="G374" s="84" t="str">
        <x:v>New (counts toward 400)</x:v>
      </x:c>
      <x:c r="H374" s="84" t="str">
        <x:v>Not Started</x:v>
      </x:c>
      <x:c r="I374" s="80" t="str">
        <x:v>Try candidate values or simulate operations directly, checking bits/digits as needed.</x:v>
      </x:c>
      <x:c r="J374" s="80" t="str">
        <x:v>Use arithmetic/bit invariants (XOR, masks, modular arithmetic) or a sieve for many prime queries.</x:v>
      </x:c>
      <x:c r="K374" s="80" t="str">
        <x:v>O(log n) to O(n log log n)</x:v>
      </x:c>
      <x:c r="L374" s="80" t="str">
        <x:v>O(1) to O(n)</x:v>
      </x:c>
      <x:c r="M374" s="84" t="n">
        <x:v>0</x:v>
      </x:c>
      <x:c r="N374" s="86"/>
      <x:c r="O374" s="84"/>
      <x:c r="P374" s="86"/>
      <x:c r="Q374" s="80" t="str">
        <x:v>https://leetcode.com/problems/single-number-iii/</x:v>
      </x:c>
      <x:c r="R374" s="80" t="str"/>
      <x:c r="S374" s="84" t="n">
        <x:f>IF(AND(OR(H374="Solved",H374="Revised"),G374="New (counts toward 400)"),1,0)</x:f>
        <x:v>0</x:v>
      </x:c>
    </x:row>
    <x:row r="375" ht="48" customHeight="1">
      <x:c r="A375" s="84" t="n">
        <x:v>372</x:v>
      </x:c>
      <x:c r="B375" s="84" t="n">
        <x:v>137</x:v>
      </x:c>
      <x:c r="C375" s="80" t="str">
        <x:v>Single Number II</x:v>
      </x:c>
      <x:c r="D375" s="84" t="str">
        <x:v>Medium</x:v>
      </x:c>
      <x:c r="E375" s="84" t="str">
        <x:v>Bit Manipulation</x:v>
      </x:c>
      <x:c r="F375" s="84" t="str">
        <x:v>P2</x:v>
      </x:c>
      <x:c r="G375" s="84" t="str">
        <x:v>New (counts toward 400)</x:v>
      </x:c>
      <x:c r="H375" s="84" t="str">
        <x:v>Not Started</x:v>
      </x:c>
      <x:c r="I375" s="80" t="str">
        <x:v>Try candidate values or simulate operations directly, checking bits/digits as needed.</x:v>
      </x:c>
      <x:c r="J375" s="80" t="str">
        <x:v>Use arithmetic/bit invariants (XOR, masks, modular arithmetic) or a sieve for many prime queries.</x:v>
      </x:c>
      <x:c r="K375" s="80" t="str">
        <x:v>O(log n) to O(n log log n)</x:v>
      </x:c>
      <x:c r="L375" s="80" t="str">
        <x:v>O(1) to O(n)</x:v>
      </x:c>
      <x:c r="M375" s="84" t="n">
        <x:v>0</x:v>
      </x:c>
      <x:c r="N375" s="86"/>
      <x:c r="O375" s="84"/>
      <x:c r="P375" s="86"/>
      <x:c r="Q375" s="80" t="str">
        <x:v>https://leetcode.com/problems/single-number-ii/</x:v>
      </x:c>
      <x:c r="R375" s="80" t="str"/>
      <x:c r="S375" s="84" t="n">
        <x:f>IF(AND(OR(H375="Solved",H375="Revised"),G375="New (counts toward 400)"),1,0)</x:f>
        <x:v>0</x:v>
      </x:c>
    </x:row>
    <x:row r="376" ht="48" customHeight="1">
      <x:c r="A376" s="84" t="n">
        <x:v>373</x:v>
      </x:c>
      <x:c r="B376" s="84" t="n">
        <x:v>89</x:v>
      </x:c>
      <x:c r="C376" s="80" t="str">
        <x:v>Gray Code</x:v>
      </x:c>
      <x:c r="D376" s="84" t="str">
        <x:v>Medium</x:v>
      </x:c>
      <x:c r="E376" s="84" t="str">
        <x:v>Bit Manipulation / Backtracking</x:v>
      </x:c>
      <x:c r="F376" s="84" t="str">
        <x:v>P3</x:v>
      </x:c>
      <x:c r="G376" s="84" t="str">
        <x:v>New (counts toward 400)</x:v>
      </x:c>
      <x:c r="H376" s="84" t="str">
        <x:v>Not Started</x:v>
      </x:c>
      <x:c r="I376" s="80" t="str">
        <x:v>Generate every choice sequence and validate completed candidates.</x:v>
      </x:c>
      <x:c r="J376" s="80" t="str">
        <x:v>Use choose→explore→unchoose, prune invalid partial states early, and skip duplicate choices at the same depth.</x:v>
      </x:c>
      <x:c r="K376" s="80" t="str">
        <x:v>Exponential / output-sensitive</x:v>
      </x:c>
      <x:c r="L376" s="80" t="str">
        <x:v>O(depth) plus output</x:v>
      </x:c>
      <x:c r="M376" s="84" t="n">
        <x:v>0</x:v>
      </x:c>
      <x:c r="N376" s="86"/>
      <x:c r="O376" s="84"/>
      <x:c r="P376" s="86"/>
      <x:c r="Q376" s="80" t="str">
        <x:v>https://leetcode.com/problems/gray-code/</x:v>
      </x:c>
      <x:c r="R376" s="80" t="str"/>
      <x:c r="S376" s="84" t="n">
        <x:f>IF(AND(OR(H376="Solved",H376="Revised"),G376="New (counts toward 400)"),1,0)</x:f>
        <x:v>0</x:v>
      </x:c>
    </x:row>
    <x:row r="377" ht="48" customHeight="1">
      <x:c r="A377" s="84" t="n">
        <x:v>374</x:v>
      </x:c>
      <x:c r="B377" s="84" t="n">
        <x:v>50</x:v>
      </x:c>
      <x:c r="C377" s="80" t="str">
        <x:v>Pow(x, n)</x:v>
      </x:c>
      <x:c r="D377" s="84" t="str">
        <x:v>Medium</x:v>
      </x:c>
      <x:c r="E377" s="84" t="str">
        <x:v>Math / Binary Exponentiation</x:v>
      </x:c>
      <x:c r="F377" s="84" t="str">
        <x:v>P1</x:v>
      </x:c>
      <x:c r="G377" s="84" t="str">
        <x:v>New (counts toward 400)</x:v>
      </x:c>
      <x:c r="H377" s="84" t="str">
        <x:v>Not Started</x:v>
      </x:c>
      <x:c r="I377" s="80" t="str">
        <x:v>Try candidate values or simulate operations directly, checking bits/digits as needed.</x:v>
      </x:c>
      <x:c r="J377" s="80" t="str">
        <x:v>Use arithmetic/bit invariants (XOR, masks, modular arithmetic) or a sieve for many prime queries.</x:v>
      </x:c>
      <x:c r="K377" s="80" t="str">
        <x:v>O(log n) to O(n log log n)</x:v>
      </x:c>
      <x:c r="L377" s="80" t="str">
        <x:v>O(1) to O(n)</x:v>
      </x:c>
      <x:c r="M377" s="84" t="n">
        <x:v>0</x:v>
      </x:c>
      <x:c r="N377" s="86"/>
      <x:c r="O377" s="84"/>
      <x:c r="P377" s="86"/>
      <x:c r="Q377" s="80" t="str">
        <x:v>https://leetcode.com/problems/powx-n/</x:v>
      </x:c>
      <x:c r="R377" s="80" t="str"/>
      <x:c r="S377" s="84" t="n">
        <x:f>IF(AND(OR(H377="Solved",H377="Revised"),G377="New (counts toward 400)"),1,0)</x:f>
        <x:v>0</x:v>
      </x:c>
    </x:row>
    <x:row r="378" ht="48" customHeight="1">
      <x:c r="A378" s="84" t="n">
        <x:v>375</x:v>
      </x:c>
      <x:c r="B378" s="84" t="n">
        <x:v>202</x:v>
      </x:c>
      <x:c r="C378" s="80" t="str">
        <x:v>Happy Number</x:v>
      </x:c>
      <x:c r="D378" s="84" t="str">
        <x:v>Easy</x:v>
      </x:c>
      <x:c r="E378" s="84" t="str">
        <x:v>Hashing / Math</x:v>
      </x:c>
      <x:c r="F378" s="84" t="str">
        <x:v>P2</x:v>
      </x:c>
      <x:c r="G378" s="84" t="str">
        <x:v>New (counts toward 400)</x:v>
      </x:c>
      <x:c r="H378" s="84" t="str">
        <x:v>Not Started</x:v>
      </x:c>
      <x:c r="I378" s="80" t="str">
        <x:v>Use a simple collection and linearly scan when an operation occurs.</x:v>
      </x:c>
      <x:c r="J378" s="80" t="str">
        <x:v>Select structures to match operations: hash map for lookup, doubly linked list for recency, heap for ordered extraction.</x:v>
      </x:c>
      <x:c r="K378" s="80" t="str">
        <x:v>O(1) average or O(log n) per operation</x:v>
      </x:c>
      <x:c r="L378" s="80" t="str">
        <x:v>O(n)</x:v>
      </x:c>
      <x:c r="M378" s="84" t="n">
        <x:v>0</x:v>
      </x:c>
      <x:c r="N378" s="86"/>
      <x:c r="O378" s="84"/>
      <x:c r="P378" s="86"/>
      <x:c r="Q378" s="80" t="str">
        <x:v>https://leetcode.com/problems/happy-number/</x:v>
      </x:c>
      <x:c r="R378" s="80" t="str"/>
      <x:c r="S378" s="84" t="n">
        <x:f>IF(AND(OR(H378="Solved",H378="Revised"),G378="New (counts toward 400)"),1,0)</x:f>
        <x:v>0</x:v>
      </x:c>
    </x:row>
    <x:row r="379" ht="48" customHeight="1">
      <x:c r="A379" s="84" t="n">
        <x:v>376</x:v>
      </x:c>
      <x:c r="B379" s="84" t="n">
        <x:v>204</x:v>
      </x:c>
      <x:c r="C379" s="80" t="str">
        <x:v>Count Primes</x:v>
      </x:c>
      <x:c r="D379" s="84" t="str">
        <x:v>Medium</x:v>
      </x:c>
      <x:c r="E379" s="84" t="str">
        <x:v>Math / Sieve</x:v>
      </x:c>
      <x:c r="F379" s="84" t="str">
        <x:v>P2</x:v>
      </x:c>
      <x:c r="G379" s="84" t="str">
        <x:v>New (counts toward 400)</x:v>
      </x:c>
      <x:c r="H379" s="84" t="str">
        <x:v>Not Started</x:v>
      </x:c>
      <x:c r="I379" s="80" t="str">
        <x:v>Try candidate values or simulate operations directly, checking bits/digits as needed.</x:v>
      </x:c>
      <x:c r="J379" s="80" t="str">
        <x:v>Use arithmetic/bit invariants (XOR, masks, modular arithmetic) or a sieve for many prime queries.</x:v>
      </x:c>
      <x:c r="K379" s="80" t="str">
        <x:v>O(log n) to O(n log log n)</x:v>
      </x:c>
      <x:c r="L379" s="80" t="str">
        <x:v>O(1) to O(n)</x:v>
      </x:c>
      <x:c r="M379" s="84" t="n">
        <x:v>0</x:v>
      </x:c>
      <x:c r="N379" s="86"/>
      <x:c r="O379" s="84"/>
      <x:c r="P379" s="86"/>
      <x:c r="Q379" s="80" t="str">
        <x:v>https://leetcode.com/problems/count-primes/</x:v>
      </x:c>
      <x:c r="R379" s="80" t="str"/>
      <x:c r="S379" s="84" t="n">
        <x:f>IF(AND(OR(H379="Solved",H379="Revised"),G379="New (counts toward 400)"),1,0)</x:f>
        <x:v>0</x:v>
      </x:c>
    </x:row>
    <x:row r="380" ht="48" customHeight="1">
      <x:c r="A380" s="84" t="n">
        <x:v>377</x:v>
      </x:c>
      <x:c r="B380" s="84" t="n">
        <x:v>172</x:v>
      </x:c>
      <x:c r="C380" s="80" t="str">
        <x:v>Factorial Trailing Zeroes</x:v>
      </x:c>
      <x:c r="D380" s="84" t="str">
        <x:v>Medium</x:v>
      </x:c>
      <x:c r="E380" s="84" t="str">
        <x:v>Math</x:v>
      </x:c>
      <x:c r="F380" s="84" t="str">
        <x:v>P2</x:v>
      </x:c>
      <x:c r="G380" s="84" t="str">
        <x:v>New (counts toward 400)</x:v>
      </x:c>
      <x:c r="H380" s="84" t="str">
        <x:v>Not Started</x:v>
      </x:c>
      <x:c r="I380" s="80" t="str">
        <x:v>Try candidate values or simulate operations directly, checking bits/digits as needed.</x:v>
      </x:c>
      <x:c r="J380" s="80" t="str">
        <x:v>Use arithmetic/bit invariants (XOR, masks, modular arithmetic) or a sieve for many prime queries.</x:v>
      </x:c>
      <x:c r="K380" s="80" t="str">
        <x:v>O(log n) to O(n log log n)</x:v>
      </x:c>
      <x:c r="L380" s="80" t="str">
        <x:v>O(1) to O(n)</x:v>
      </x:c>
      <x:c r="M380" s="84" t="n">
        <x:v>0</x:v>
      </x:c>
      <x:c r="N380" s="86"/>
      <x:c r="O380" s="84"/>
      <x:c r="P380" s="86"/>
      <x:c r="Q380" s="80" t="str">
        <x:v>https://leetcode.com/problems/factorial-trailing-zeroes/</x:v>
      </x:c>
      <x:c r="R380" s="80" t="str"/>
      <x:c r="S380" s="84" t="n">
        <x:f>IF(AND(OR(H380="Solved",H380="Revised"),G380="New (counts toward 400)"),1,0)</x:f>
        <x:v>0</x:v>
      </x:c>
    </x:row>
    <x:row r="381" ht="48" customHeight="1">
      <x:c r="A381" s="84" t="n">
        <x:v>378</x:v>
      </x:c>
      <x:c r="B381" s="84" t="n">
        <x:v>149</x:v>
      </x:c>
      <x:c r="C381" s="80" t="str">
        <x:v>Max Points on a Line</x:v>
      </x:c>
      <x:c r="D381" s="84" t="str">
        <x:v>Hard</x:v>
      </x:c>
      <x:c r="E381" s="84" t="str">
        <x:v>Math / Hashing</x:v>
      </x:c>
      <x:c r="F381" s="84" t="str">
        <x:v>P3</x:v>
      </x:c>
      <x:c r="G381" s="84" t="str">
        <x:v>New (counts toward 400)</x:v>
      </x:c>
      <x:c r="H381" s="84" t="str">
        <x:v>Not Started</x:v>
      </x:c>
      <x:c r="I381" s="80" t="str">
        <x:v>Use a simple collection and linearly scan when an operation occurs.</x:v>
      </x:c>
      <x:c r="J381" s="80" t="str">
        <x:v>Select structures to match operations: hash map for lookup, doubly linked list for recency, heap for ordered extraction.</x:v>
      </x:c>
      <x:c r="K381" s="80" t="str">
        <x:v>O(1) average or O(log n) per operation</x:v>
      </x:c>
      <x:c r="L381" s="80" t="str">
        <x:v>O(n)</x:v>
      </x:c>
      <x:c r="M381" s="84" t="n">
        <x:v>0</x:v>
      </x:c>
      <x:c r="N381" s="86"/>
      <x:c r="O381" s="84"/>
      <x:c r="P381" s="86"/>
      <x:c r="Q381" s="80" t="str">
        <x:v>https://leetcode.com/problems/max-points-on-a-line/</x:v>
      </x:c>
      <x:c r="R381" s="80" t="str"/>
      <x:c r="S381" s="84" t="n">
        <x:f>IF(AND(OR(H381="Solved",H381="Revised"),G381="New (counts toward 400)"),1,0)</x:f>
        <x:v>0</x:v>
      </x:c>
    </x:row>
    <x:row r="382" ht="48" customHeight="1">
      <x:c r="A382" s="84" t="n">
        <x:v>379</x:v>
      </x:c>
      <x:c r="B382" s="84" t="n">
        <x:v>7</x:v>
      </x:c>
      <x:c r="C382" s="80" t="str">
        <x:v>Reverse Integer</x:v>
      </x:c>
      <x:c r="D382" s="84" t="str">
        <x:v>Medium</x:v>
      </x:c>
      <x:c r="E382" s="84" t="str">
        <x:v>Math / Overflow</x:v>
      </x:c>
      <x:c r="F382" s="84" t="str">
        <x:v>P2</x:v>
      </x:c>
      <x:c r="G382" s="84" t="str">
        <x:v>New (counts toward 400)</x:v>
      </x:c>
      <x:c r="H382" s="84" t="str">
        <x:v>Not Started</x:v>
      </x:c>
      <x:c r="I382" s="80" t="str">
        <x:v>Try candidate values or simulate operations directly, checking bits/digits as needed.</x:v>
      </x:c>
      <x:c r="J382" s="80" t="str">
        <x:v>Use arithmetic/bit invariants (XOR, masks, modular arithmetic) or a sieve for many prime queries.</x:v>
      </x:c>
      <x:c r="K382" s="80" t="str">
        <x:v>O(log n) to O(n log log n)</x:v>
      </x:c>
      <x:c r="L382" s="80" t="str">
        <x:v>O(1) to O(n)</x:v>
      </x:c>
      <x:c r="M382" s="84" t="n">
        <x:v>0</x:v>
      </x:c>
      <x:c r="N382" s="86"/>
      <x:c r="O382" s="84"/>
      <x:c r="P382" s="86"/>
      <x:c r="Q382" s="80" t="str">
        <x:v>https://leetcode.com/problems/reverse-integer/</x:v>
      </x:c>
      <x:c r="R382" s="80" t="str"/>
      <x:c r="S382" s="84" t="n">
        <x:f>IF(AND(OR(H382="Solved",H382="Revised"),G382="New (counts toward 400)"),1,0)</x:f>
        <x:v>0</x:v>
      </x:c>
    </x:row>
    <x:row r="383" ht="48" customHeight="1">
      <x:c r="A383" s="84" t="n">
        <x:v>380</x:v>
      </x:c>
      <x:c r="B383" s="84" t="n">
        <x:v>9</x:v>
      </x:c>
      <x:c r="C383" s="80" t="str">
        <x:v>Palindrome Number</x:v>
      </x:c>
      <x:c r="D383" s="84" t="str">
        <x:v>Easy</x:v>
      </x:c>
      <x:c r="E383" s="84" t="str">
        <x:v>Math</x:v>
      </x:c>
      <x:c r="F383" s="84" t="str">
        <x:v>P2</x:v>
      </x:c>
      <x:c r="G383" s="84" t="str">
        <x:v>New (counts toward 400)</x:v>
      </x:c>
      <x:c r="H383" s="84" t="str">
        <x:v>Not Started</x:v>
      </x:c>
      <x:c r="I383" s="80" t="str">
        <x:v>Try candidate values or simulate operations directly, checking bits/digits as needed.</x:v>
      </x:c>
      <x:c r="J383" s="80" t="str">
        <x:v>Use arithmetic/bit invariants (XOR, masks, modular arithmetic) or a sieve for many prime queries.</x:v>
      </x:c>
      <x:c r="K383" s="80" t="str">
        <x:v>O(log n) to O(n log log n)</x:v>
      </x:c>
      <x:c r="L383" s="80" t="str">
        <x:v>O(1) to O(n)</x:v>
      </x:c>
      <x:c r="M383" s="84" t="n">
        <x:v>0</x:v>
      </x:c>
      <x:c r="N383" s="86"/>
      <x:c r="O383" s="84"/>
      <x:c r="P383" s="86"/>
      <x:c r="Q383" s="80" t="str">
        <x:v>https://leetcode.com/problems/palindrome-number/</x:v>
      </x:c>
      <x:c r="R383" s="80" t="str"/>
      <x:c r="S383" s="84" t="n">
        <x:f>IF(AND(OR(H383="Solved",H383="Revised"),G383="New (counts toward 400)"),1,0)</x:f>
        <x:v>0</x:v>
      </x:c>
    </x:row>
    <x:row r="384" ht="48" customHeight="1">
      <x:c r="A384" s="84" t="n">
        <x:v>381</x:v>
      </x:c>
      <x:c r="B384" s="84" t="n">
        <x:v>29</x:v>
      </x:c>
      <x:c r="C384" s="80" t="str">
        <x:v>Divide Two Integers</x:v>
      </x:c>
      <x:c r="D384" s="84" t="str">
        <x:v>Medium</x:v>
      </x:c>
      <x:c r="E384" s="84" t="str">
        <x:v>Bit Manipulation / Math</x:v>
      </x:c>
      <x:c r="F384" s="84" t="str">
        <x:v>P2</x:v>
      </x:c>
      <x:c r="G384" s="84" t="str">
        <x:v>New (counts toward 400)</x:v>
      </x:c>
      <x:c r="H384" s="84" t="str">
        <x:v>Not Started</x:v>
      </x:c>
      <x:c r="I384" s="80" t="str">
        <x:v>Try candidate values or simulate operations directly, checking bits/digits as needed.</x:v>
      </x:c>
      <x:c r="J384" s="80" t="str">
        <x:v>Use arithmetic/bit invariants (XOR, masks, modular arithmetic) or a sieve for many prime queries.</x:v>
      </x:c>
      <x:c r="K384" s="80" t="str">
        <x:v>O(log n) to O(n log log n)</x:v>
      </x:c>
      <x:c r="L384" s="80" t="str">
        <x:v>O(1) to O(n)</x:v>
      </x:c>
      <x:c r="M384" s="84" t="n">
        <x:v>0</x:v>
      </x:c>
      <x:c r="N384" s="86"/>
      <x:c r="O384" s="84"/>
      <x:c r="P384" s="86"/>
      <x:c r="Q384" s="80" t="str">
        <x:v>https://leetcode.com/problems/divide-two-integers/</x:v>
      </x:c>
      <x:c r="R384" s="80" t="str"/>
      <x:c r="S384" s="84" t="n">
        <x:f>IF(AND(OR(H384="Solved",H384="Revised"),G384="New (counts toward 400)"),1,0)</x:f>
        <x:v>0</x:v>
      </x:c>
    </x:row>
    <x:row r="385" ht="48" customHeight="1">
      <x:c r="A385" s="84" t="n">
        <x:v>382</x:v>
      </x:c>
      <x:c r="B385" s="84" t="n">
        <x:v>400</x:v>
      </x:c>
      <x:c r="C385" s="80" t="str">
        <x:v>Nth Digit</x:v>
      </x:c>
      <x:c r="D385" s="84" t="str">
        <x:v>Medium</x:v>
      </x:c>
      <x:c r="E385" s="84" t="str">
        <x:v>Math</x:v>
      </x:c>
      <x:c r="F385" s="84" t="str">
        <x:v>P3</x:v>
      </x:c>
      <x:c r="G385" s="84" t="str">
        <x:v>New (counts toward 400)</x:v>
      </x:c>
      <x:c r="H385" s="84" t="str">
        <x:v>Not Started</x:v>
      </x:c>
      <x:c r="I385" s="80" t="str">
        <x:v>Try candidate values or simulate operations directly, checking bits/digits as needed.</x:v>
      </x:c>
      <x:c r="J385" s="80" t="str">
        <x:v>Use arithmetic/bit invariants (XOR, masks, modular arithmetic) or a sieve for many prime queries.</x:v>
      </x:c>
      <x:c r="K385" s="80" t="str">
        <x:v>O(log n) to O(n log log n)</x:v>
      </x:c>
      <x:c r="L385" s="80" t="str">
        <x:v>O(1) to O(n)</x:v>
      </x:c>
      <x:c r="M385" s="84" t="n">
        <x:v>0</x:v>
      </x:c>
      <x:c r="N385" s="86"/>
      <x:c r="O385" s="84"/>
      <x:c r="P385" s="86"/>
      <x:c r="Q385" s="80" t="str">
        <x:v>https://leetcode.com/problems/nth-digit/</x:v>
      </x:c>
      <x:c r="R385" s="80" t="str"/>
      <x:c r="S385" s="84" t="n">
        <x:f>IF(AND(OR(H385="Solved",H385="Revised"),G385="New (counts toward 400)"),1,0)</x:f>
        <x:v>0</x:v>
      </x:c>
    </x:row>
    <x:row r="386" ht="48" customHeight="1">
      <x:c r="A386" s="84" t="n">
        <x:v>383</x:v>
      </x:c>
      <x:c r="B386" s="84" t="n">
        <x:v>829</x:v>
      </x:c>
      <x:c r="C386" s="80" t="str">
        <x:v>Consecutive Numbers Sum</x:v>
      </x:c>
      <x:c r="D386" s="84" t="str">
        <x:v>Hard</x:v>
      </x:c>
      <x:c r="E386" s="84" t="str">
        <x:v>Math</x:v>
      </x:c>
      <x:c r="F386" s="84" t="str">
        <x:v>P3</x:v>
      </x:c>
      <x:c r="G386" s="84" t="str">
        <x:v>New (counts toward 400)</x:v>
      </x:c>
      <x:c r="H386" s="84" t="str">
        <x:v>Not Started</x:v>
      </x:c>
      <x:c r="I386" s="80" t="str">
        <x:v>Try candidate values or simulate operations directly, checking bits/digits as needed.</x:v>
      </x:c>
      <x:c r="J386" s="80" t="str">
        <x:v>Use arithmetic/bit invariants (XOR, masks, modular arithmetic) or a sieve for many prime queries.</x:v>
      </x:c>
      <x:c r="K386" s="80" t="str">
        <x:v>O(log n) to O(n log log n)</x:v>
      </x:c>
      <x:c r="L386" s="80" t="str">
        <x:v>O(1) to O(n)</x:v>
      </x:c>
      <x:c r="M386" s="84" t="n">
        <x:v>0</x:v>
      </x:c>
      <x:c r="N386" s="86"/>
      <x:c r="O386" s="84"/>
      <x:c r="P386" s="86"/>
      <x:c r="Q386" s="80" t="str">
        <x:v>https://leetcode.com/problems/consecutive-numbers-sum/</x:v>
      </x:c>
      <x:c r="R386" s="80" t="str"/>
      <x:c r="S386" s="84" t="n">
        <x:f>IF(AND(OR(H386="Solved",H386="Revised"),G386="New (counts toward 400)"),1,0)</x:f>
        <x:v>0</x:v>
      </x:c>
    </x:row>
    <x:row r="387" ht="48" customHeight="1">
      <x:c r="A387" s="84" t="n">
        <x:v>384</x:v>
      </x:c>
      <x:c r="B387" s="84" t="n">
        <x:v>67</x:v>
      </x:c>
      <x:c r="C387" s="80" t="str">
        <x:v>Add Binary</x:v>
      </x:c>
      <x:c r="D387" s="84" t="str">
        <x:v>Easy</x:v>
      </x:c>
      <x:c r="E387" s="84" t="str">
        <x:v>String Arithmetic</x:v>
      </x:c>
      <x:c r="F387" s="84" t="str">
        <x:v>P2</x:v>
      </x:c>
      <x:c r="G387" s="84" t="str">
        <x:v>New (counts toward 400)</x:v>
      </x:c>
      <x:c r="H387" s="84" t="str">
        <x:v>Not Started</x:v>
      </x:c>
      <x:c r="I387" s="80" t="str">
        <x:v>Compare candidate substrings or repeatedly scan the input to determine the answer.</x:v>
      </x:c>
      <x:c r="J387" s="80" t="str">
        <x:v>Use character counts, a stack, two pointers, or a string-matching invariant suited to the operation.</x:v>
      </x:c>
      <x:c r="K387" s="80" t="str">
        <x:v>O(n) to O(n log n)</x:v>
      </x:c>
      <x:c r="L387" s="80" t="str">
        <x:v>O(n)</x:v>
      </x:c>
      <x:c r="M387" s="84" t="n">
        <x:v>0</x:v>
      </x:c>
      <x:c r="N387" s="86"/>
      <x:c r="O387" s="84"/>
      <x:c r="P387" s="86"/>
      <x:c r="Q387" s="80" t="str">
        <x:v>https://leetcode.com/problems/add-binary/</x:v>
      </x:c>
      <x:c r="R387" s="80" t="str"/>
      <x:c r="S387" s="84" t="n">
        <x:f>IF(AND(OR(H387="Solved",H387="Revised"),G387="New (counts toward 400)"),1,0)</x:f>
        <x:v>0</x:v>
      </x:c>
    </x:row>
    <x:row r="388" ht="48" customHeight="1">
      <x:c r="A388" s="84" t="n">
        <x:v>385</x:v>
      </x:c>
      <x:c r="B388" s="84" t="n">
        <x:v>66</x:v>
      </x:c>
      <x:c r="C388" s="80" t="str">
        <x:v>Plus One</x:v>
      </x:c>
      <x:c r="D388" s="84" t="str">
        <x:v>Easy</x:v>
      </x:c>
      <x:c r="E388" s="84" t="str">
        <x:v>Array / Math</x:v>
      </x:c>
      <x:c r="F388" s="84" t="str">
        <x:v>P2</x:v>
      </x:c>
      <x:c r="G388" s="84" t="str">
        <x:v>New (counts toward 400)</x:v>
      </x:c>
      <x:c r="H388" s="84" t="str">
        <x:v>Not Started</x:v>
      </x:c>
      <x:c r="I388" s="80" t="str">
        <x:v>Try candidate values or simulate operations directly, checking bits/digits as needed.</x:v>
      </x:c>
      <x:c r="J388" s="80" t="str">
        <x:v>Use arithmetic/bit invariants (XOR, masks, modular arithmetic) or a sieve for many prime queries.</x:v>
      </x:c>
      <x:c r="K388" s="80" t="str">
        <x:v>O(log n) to O(n log log n)</x:v>
      </x:c>
      <x:c r="L388" s="80" t="str">
        <x:v>O(1) to O(n)</x:v>
      </x:c>
      <x:c r="M388" s="84" t="n">
        <x:v>0</x:v>
      </x:c>
      <x:c r="N388" s="86"/>
      <x:c r="O388" s="84"/>
      <x:c r="P388" s="86"/>
      <x:c r="Q388" s="80" t="str">
        <x:v>https://leetcode.com/problems/plus-one/</x:v>
      </x:c>
      <x:c r="R388" s="80" t="str"/>
      <x:c r="S388" s="84" t="n">
        <x:f>IF(AND(OR(H388="Solved",H388="Revised"),G388="New (counts toward 400)"),1,0)</x:f>
        <x:v>0</x:v>
      </x:c>
    </x:row>
    <x:row r="389" ht="48" customHeight="1">
      <x:c r="A389" s="84" t="n">
        <x:v>386</x:v>
      </x:c>
      <x:c r="B389" s="84" t="n">
        <x:v>48</x:v>
      </x:c>
      <x:c r="C389" s="80" t="str">
        <x:v>Rotate Image</x:v>
      </x:c>
      <x:c r="D389" s="84" t="str">
        <x:v>Medium</x:v>
      </x:c>
      <x:c r="E389" s="84" t="str">
        <x:v>Matrix / In-place</x:v>
      </x:c>
      <x:c r="F389" s="84" t="str">
        <x:v>P1</x:v>
      </x:c>
      <x:c r="G389" s="84" t="str">
        <x:v>New (counts toward 400)</x:v>
      </x:c>
      <x:c r="H389" s="84" t="str">
        <x:v>Not Started</x:v>
      </x:c>
      <x:c r="I389" s="80" t="str">
        <x:v>Allocate a second matrix and place every element at its rotated position.</x:v>
      </x:c>
      <x:c r="J389" s="80" t="str">
        <x:v>Transpose in place, then reverse each row.</x:v>
      </x:c>
      <x:c r="K389" s="80" t="str">
        <x:v>O(n²)</x:v>
      </x:c>
      <x:c r="L389" s="80" t="str">
        <x:v>O(1) extra</x:v>
      </x:c>
      <x:c r="M389" s="84" t="n">
        <x:v>0</x:v>
      </x:c>
      <x:c r="N389" s="86"/>
      <x:c r="O389" s="84"/>
      <x:c r="P389" s="86"/>
      <x:c r="Q389" s="80" t="str">
        <x:v>https://leetcode.com/problems/rotate-image/</x:v>
      </x:c>
      <x:c r="R389" s="80" t="str"/>
      <x:c r="S389" s="84" t="n">
        <x:f>IF(AND(OR(H389="Solved",H389="Revised"),G389="New (counts toward 400)"),1,0)</x:f>
        <x:v>0</x:v>
      </x:c>
    </x:row>
    <x:row r="390" ht="48" customHeight="1">
      <x:c r="A390" s="84" t="n">
        <x:v>387</x:v>
      </x:c>
      <x:c r="B390" s="84" t="n">
        <x:v>54</x:v>
      </x:c>
      <x:c r="C390" s="80" t="str">
        <x:v>Spiral Matrix</x:v>
      </x:c>
      <x:c r="D390" s="84" t="str">
        <x:v>Medium</x:v>
      </x:c>
      <x:c r="E390" s="84" t="str">
        <x:v>Matrix / Simulation</x:v>
      </x:c>
      <x:c r="F390" s="84" t="str">
        <x:v>P1</x:v>
      </x:c>
      <x:c r="G390" s="84" t="str">
        <x:v>New (counts toward 400)</x:v>
      </x:c>
      <x:c r="H390" s="84" t="str">
        <x:v>Not Started</x:v>
      </x:c>
      <x:c r="I390" s="80" t="str">
        <x:v>Use a secondary matrix or repeatedly scan the grid for each update/query.</x:v>
      </x:c>
      <x:c r="J390" s="80" t="str">
        <x:v>Exploit row/column order or traverse once; use in-place markers when allowed and visited-state BFS/DFS for connectivity.</x:v>
      </x:c>
      <x:c r="K390" s="80" t="str">
        <x:v>O(rows × cols) typical</x:v>
      </x:c>
      <x:c r="L390" s="80" t="str">
        <x:v>O(1) extra to O(rows × cols)</x:v>
      </x:c>
      <x:c r="M390" s="84" t="n">
        <x:v>0</x:v>
      </x:c>
      <x:c r="N390" s="86"/>
      <x:c r="O390" s="84"/>
      <x:c r="P390" s="86"/>
      <x:c r="Q390" s="80" t="str">
        <x:v>https://leetcode.com/problems/spiral-matrix/</x:v>
      </x:c>
      <x:c r="R390" s="80" t="str"/>
      <x:c r="S390" s="84" t="n">
        <x:f>IF(AND(OR(H390="Solved",H390="Revised"),G390="New (counts toward 400)"),1,0)</x:f>
        <x:v>0</x:v>
      </x:c>
    </x:row>
    <x:row r="391" ht="48" customHeight="1">
      <x:c r="A391" s="84" t="n">
        <x:v>388</x:v>
      </x:c>
      <x:c r="B391" s="84" t="n">
        <x:v>59</x:v>
      </x:c>
      <x:c r="C391" s="80" t="str">
        <x:v>Spiral Matrix II</x:v>
      </x:c>
      <x:c r="D391" s="84" t="str">
        <x:v>Medium</x:v>
      </x:c>
      <x:c r="E391" s="84" t="str">
        <x:v>Matrix / Simulation</x:v>
      </x:c>
      <x:c r="F391" s="84" t="str">
        <x:v>P2</x:v>
      </x:c>
      <x:c r="G391" s="84" t="str">
        <x:v>New (counts toward 400)</x:v>
      </x:c>
      <x:c r="H391" s="84" t="str">
        <x:v>Not Started</x:v>
      </x:c>
      <x:c r="I391" s="80" t="str">
        <x:v>Use a secondary matrix or repeatedly scan the grid for each update/query.</x:v>
      </x:c>
      <x:c r="J391" s="80" t="str">
        <x:v>Exploit row/column order or traverse once; use in-place markers when allowed and visited-state BFS/DFS for connectivity.</x:v>
      </x:c>
      <x:c r="K391" s="80" t="str">
        <x:v>O(rows × cols) typical</x:v>
      </x:c>
      <x:c r="L391" s="80" t="str">
        <x:v>O(1) extra to O(rows × cols)</x:v>
      </x:c>
      <x:c r="M391" s="84" t="n">
        <x:v>0</x:v>
      </x:c>
      <x:c r="N391" s="86"/>
      <x:c r="O391" s="84"/>
      <x:c r="P391" s="86"/>
      <x:c r="Q391" s="80" t="str">
        <x:v>https://leetcode.com/problems/spiral-matrix-ii/</x:v>
      </x:c>
      <x:c r="R391" s="80" t="str"/>
      <x:c r="S391" s="84" t="n">
        <x:f>IF(AND(OR(H391="Solved",H391="Revised"),G391="New (counts toward 400)"),1,0)</x:f>
        <x:v>0</x:v>
      </x:c>
    </x:row>
    <x:row r="392" ht="48" customHeight="1">
      <x:c r="A392" s="84" t="n">
        <x:v>389</x:v>
      </x:c>
      <x:c r="B392" s="84" t="n">
        <x:v>73</x:v>
      </x:c>
      <x:c r="C392" s="80" t="str">
        <x:v>Set Matrix Zeroes</x:v>
      </x:c>
      <x:c r="D392" s="84" t="str">
        <x:v>Medium</x:v>
      </x:c>
      <x:c r="E392" s="84" t="str">
        <x:v>Matrix / In-place</x:v>
      </x:c>
      <x:c r="F392" s="84" t="str">
        <x:v>P1</x:v>
      </x:c>
      <x:c r="G392" s="84" t="str">
        <x:v>New (counts toward 400)</x:v>
      </x:c>
      <x:c r="H392" s="84" t="str">
        <x:v>Not Started</x:v>
      </x:c>
      <x:c r="I392" s="80" t="str">
        <x:v>Use separate row and column flags.</x:v>
      </x:c>
      <x:c r="J392" s="80" t="str">
        <x:v>Use first row/column as marker storage and handle their original-zero state separately.</x:v>
      </x:c>
      <x:c r="K392" s="80" t="str">
        <x:v>O(rows × cols)</x:v>
      </x:c>
      <x:c r="L392" s="80" t="str">
        <x:v>O(1) extra</x:v>
      </x:c>
      <x:c r="M392" s="84" t="n">
        <x:v>0</x:v>
      </x:c>
      <x:c r="N392" s="86"/>
      <x:c r="O392" s="84"/>
      <x:c r="P392" s="86"/>
      <x:c r="Q392" s="80" t="str">
        <x:v>https://leetcode.com/problems/set-matrix-zeroes/</x:v>
      </x:c>
      <x:c r="R392" s="80" t="str"/>
      <x:c r="S392" s="84" t="n">
        <x:f>IF(AND(OR(H392="Solved",H392="Revised"),G392="New (counts toward 400)"),1,0)</x:f>
        <x:v>0</x:v>
      </x:c>
    </x:row>
    <x:row r="393" ht="48" customHeight="1">
      <x:c r="A393" s="84" t="n">
        <x:v>390</x:v>
      </x:c>
      <x:c r="B393" s="84" t="n">
        <x:v>289</x:v>
      </x:c>
      <x:c r="C393" s="80" t="str">
        <x:v>Game of Life</x:v>
      </x:c>
      <x:c r="D393" s="84" t="str">
        <x:v>Medium</x:v>
      </x:c>
      <x:c r="E393" s="84" t="str">
        <x:v>Matrix / Simulation</x:v>
      </x:c>
      <x:c r="F393" s="84" t="str">
        <x:v>P2</x:v>
      </x:c>
      <x:c r="G393" s="84" t="str">
        <x:v>New (counts toward 400)</x:v>
      </x:c>
      <x:c r="H393" s="84" t="str">
        <x:v>Not Started</x:v>
      </x:c>
      <x:c r="I393" s="80" t="str">
        <x:v>Use a secondary matrix or repeatedly scan the grid for each update/query.</x:v>
      </x:c>
      <x:c r="J393" s="80" t="str">
        <x:v>Exploit row/column order or traverse once; use in-place markers when allowed and visited-state BFS/DFS for connectivity.</x:v>
      </x:c>
      <x:c r="K393" s="80" t="str">
        <x:v>O(rows × cols) typical</x:v>
      </x:c>
      <x:c r="L393" s="80" t="str">
        <x:v>O(1) extra to O(rows × cols)</x:v>
      </x:c>
      <x:c r="M393" s="84" t="n">
        <x:v>0</x:v>
      </x:c>
      <x:c r="N393" s="86"/>
      <x:c r="O393" s="84"/>
      <x:c r="P393" s="86"/>
      <x:c r="Q393" s="80" t="str">
        <x:v>https://leetcode.com/problems/game-of-life/</x:v>
      </x:c>
      <x:c r="R393" s="80" t="str"/>
      <x:c r="S393" s="84" t="n">
        <x:f>IF(AND(OR(H393="Solved",H393="Revised"),G393="New (counts toward 400)"),1,0)</x:f>
        <x:v>0</x:v>
      </x:c>
    </x:row>
    <x:row r="394" ht="48" customHeight="1">
      <x:c r="A394" s="84" t="n">
        <x:v>391</x:v>
      </x:c>
      <x:c r="B394" s="84" t="n">
        <x:v>36</x:v>
      </x:c>
      <x:c r="C394" s="80" t="str">
        <x:v>Valid Sudoku</x:v>
      </x:c>
      <x:c r="D394" s="84" t="str">
        <x:v>Medium</x:v>
      </x:c>
      <x:c r="E394" s="84" t="str">
        <x:v>Matrix / Hashing</x:v>
      </x:c>
      <x:c r="F394" s="84" t="str">
        <x:v>P2</x:v>
      </x:c>
      <x:c r="G394" s="84" t="str">
        <x:v>New (counts toward 400)</x:v>
      </x:c>
      <x:c r="H394" s="84" t="str">
        <x:v>Not Started</x:v>
      </x:c>
      <x:c r="I394" s="80" t="str">
        <x:v>Use a simple collection and linearly scan when an operation occurs.</x:v>
      </x:c>
      <x:c r="J394" s="80" t="str">
        <x:v>Select structures to match operations: hash map for lookup, doubly linked list for recency, heap for ordered extraction.</x:v>
      </x:c>
      <x:c r="K394" s="80" t="str">
        <x:v>O(1) average or O(log n) per operation</x:v>
      </x:c>
      <x:c r="L394" s="80" t="str">
        <x:v>O(n)</x:v>
      </x:c>
      <x:c r="M394" s="84" t="n">
        <x:v>0</x:v>
      </x:c>
      <x:c r="N394" s="86"/>
      <x:c r="O394" s="84"/>
      <x:c r="P394" s="86"/>
      <x:c r="Q394" s="80" t="str">
        <x:v>https://leetcode.com/problems/valid-sudoku/</x:v>
      </x:c>
      <x:c r="R394" s="80" t="str"/>
      <x:c r="S394" s="84" t="n">
        <x:f>IF(AND(OR(H394="Solved",H394="Revised"),G394="New (counts toward 400)"),1,0)</x:f>
        <x:v>0</x:v>
      </x:c>
    </x:row>
    <x:row r="395" ht="48" customHeight="1">
      <x:c r="A395" s="84" t="n">
        <x:v>392</x:v>
      </x:c>
      <x:c r="B395" s="84" t="n">
        <x:v>498</x:v>
      </x:c>
      <x:c r="C395" s="80" t="str">
        <x:v>Diagonal Traverse</x:v>
      </x:c>
      <x:c r="D395" s="84" t="str">
        <x:v>Medium</x:v>
      </x:c>
      <x:c r="E395" s="84" t="str">
        <x:v>Matrix / Simulation</x:v>
      </x:c>
      <x:c r="F395" s="84" t="str">
        <x:v>P3</x:v>
      </x:c>
      <x:c r="G395" s="84" t="str">
        <x:v>New (counts toward 400)</x:v>
      </x:c>
      <x:c r="H395" s="84" t="str">
        <x:v>Not Started</x:v>
      </x:c>
      <x:c r="I395" s="80" t="str">
        <x:v>Use a secondary matrix or repeatedly scan the grid for each update/query.</x:v>
      </x:c>
      <x:c r="J395" s="80" t="str">
        <x:v>Exploit row/column order or traverse once; use in-place markers when allowed and visited-state BFS/DFS for connectivity.</x:v>
      </x:c>
      <x:c r="K395" s="80" t="str">
        <x:v>O(rows × cols) typical</x:v>
      </x:c>
      <x:c r="L395" s="80" t="str">
        <x:v>O(1) extra to O(rows × cols)</x:v>
      </x:c>
      <x:c r="M395" s="84" t="n">
        <x:v>0</x:v>
      </x:c>
      <x:c r="N395" s="86"/>
      <x:c r="O395" s="84"/>
      <x:c r="P395" s="86"/>
      <x:c r="Q395" s="80" t="str">
        <x:v>https://leetcode.com/problems/diagonal-traverse/</x:v>
      </x:c>
      <x:c r="R395" s="80" t="str"/>
      <x:c r="S395" s="84" t="n">
        <x:f>IF(AND(OR(H395="Solved",H395="Revised"),G395="New (counts toward 400)"),1,0)</x:f>
        <x:v>0</x:v>
      </x:c>
    </x:row>
    <x:row r="396" ht="48" customHeight="1">
      <x:c r="A396" s="84" t="n">
        <x:v>393</x:v>
      </x:c>
      <x:c r="B396" s="84" t="n">
        <x:v>885</x:v>
      </x:c>
      <x:c r="C396" s="80" t="str">
        <x:v>Spiral Matrix III</x:v>
      </x:c>
      <x:c r="D396" s="84" t="str">
        <x:v>Medium</x:v>
      </x:c>
      <x:c r="E396" s="84" t="str">
        <x:v>Matrix / Simulation</x:v>
      </x:c>
      <x:c r="F396" s="84" t="str">
        <x:v>P3</x:v>
      </x:c>
      <x:c r="G396" s="84" t="str">
        <x:v>New (counts toward 400)</x:v>
      </x:c>
      <x:c r="H396" s="84" t="str">
        <x:v>Not Started</x:v>
      </x:c>
      <x:c r="I396" s="80" t="str">
        <x:v>Use a secondary matrix or repeatedly scan the grid for each update/query.</x:v>
      </x:c>
      <x:c r="J396" s="80" t="str">
        <x:v>Exploit row/column order or traverse once; use in-place markers when allowed and visited-state BFS/DFS for connectivity.</x:v>
      </x:c>
      <x:c r="K396" s="80" t="str">
        <x:v>O(rows × cols) typical</x:v>
      </x:c>
      <x:c r="L396" s="80" t="str">
        <x:v>O(1) extra to O(rows × cols)</x:v>
      </x:c>
      <x:c r="M396" s="84" t="n">
        <x:v>0</x:v>
      </x:c>
      <x:c r="N396" s="86"/>
      <x:c r="O396" s="84"/>
      <x:c r="P396" s="86"/>
      <x:c r="Q396" s="80" t="str">
        <x:v>https://leetcode.com/problems/spiral-matrix-iii/</x:v>
      </x:c>
      <x:c r="R396" s="80" t="str"/>
      <x:c r="S396" s="84" t="n">
        <x:f>IF(AND(OR(H396="Solved",H396="Revised"),G396="New (counts toward 400)"),1,0)</x:f>
        <x:v>0</x:v>
      </x:c>
    </x:row>
    <x:row r="397" ht="48" customHeight="1">
      <x:c r="A397" s="84" t="n">
        <x:v>394</x:v>
      </x:c>
      <x:c r="B397" s="84" t="n">
        <x:v>1260</x:v>
      </x:c>
      <x:c r="C397" s="80" t="str">
        <x:v>Shift 2D Grid</x:v>
      </x:c>
      <x:c r="D397" s="84" t="str">
        <x:v>Easy</x:v>
      </x:c>
      <x:c r="E397" s="84" t="str">
        <x:v>Matrix / Simulation</x:v>
      </x:c>
      <x:c r="F397" s="84" t="str">
        <x:v>P3</x:v>
      </x:c>
      <x:c r="G397" s="84" t="str">
        <x:v>New (counts toward 400)</x:v>
      </x:c>
      <x:c r="H397" s="84" t="str">
        <x:v>Not Started</x:v>
      </x:c>
      <x:c r="I397" s="80" t="str">
        <x:v>Use a secondary matrix or repeatedly scan the grid for each update/query.</x:v>
      </x:c>
      <x:c r="J397" s="80" t="str">
        <x:v>Exploit row/column order or traverse once; use in-place markers when allowed and visited-state BFS/DFS for connectivity.</x:v>
      </x:c>
      <x:c r="K397" s="80" t="str">
        <x:v>O(rows × cols) typical</x:v>
      </x:c>
      <x:c r="L397" s="80" t="str">
        <x:v>O(1) extra to O(rows × cols)</x:v>
      </x:c>
      <x:c r="M397" s="84" t="n">
        <x:v>0</x:v>
      </x:c>
      <x:c r="N397" s="86"/>
      <x:c r="O397" s="84"/>
      <x:c r="P397" s="86"/>
      <x:c r="Q397" s="80" t="str">
        <x:v>https://leetcode.com/problems/shift-2d-grid/</x:v>
      </x:c>
      <x:c r="R397" s="80" t="str"/>
      <x:c r="S397" s="84" t="n">
        <x:f>IF(AND(OR(H397="Solved",H397="Revised"),G397="New (counts toward 400)"),1,0)</x:f>
        <x:v>0</x:v>
      </x:c>
    </x:row>
    <x:row r="398" ht="48" customHeight="1">
      <x:c r="A398" s="84" t="n">
        <x:v>395</x:v>
      </x:c>
      <x:c r="B398" s="84" t="n">
        <x:v>867</x:v>
      </x:c>
      <x:c r="C398" s="80" t="str">
        <x:v>Transpose Matrix</x:v>
      </x:c>
      <x:c r="D398" s="84" t="str">
        <x:v>Easy</x:v>
      </x:c>
      <x:c r="E398" s="84" t="str">
        <x:v>Matrix / Simulation</x:v>
      </x:c>
      <x:c r="F398" s="84" t="str">
        <x:v>P3</x:v>
      </x:c>
      <x:c r="G398" s="84" t="str">
        <x:v>New (counts toward 400)</x:v>
      </x:c>
      <x:c r="H398" s="84" t="str">
        <x:v>Not Started</x:v>
      </x:c>
      <x:c r="I398" s="80" t="str">
        <x:v>Use a secondary matrix or repeatedly scan the grid for each update/query.</x:v>
      </x:c>
      <x:c r="J398" s="80" t="str">
        <x:v>Exploit row/column order or traverse once; use in-place markers when allowed and visited-state BFS/DFS for connectivity.</x:v>
      </x:c>
      <x:c r="K398" s="80" t="str">
        <x:v>O(rows × cols) typical</x:v>
      </x:c>
      <x:c r="L398" s="80" t="str">
        <x:v>O(1) extra to O(rows × cols)</x:v>
      </x:c>
      <x:c r="M398" s="84" t="n">
        <x:v>0</x:v>
      </x:c>
      <x:c r="N398" s="86"/>
      <x:c r="O398" s="84"/>
      <x:c r="P398" s="86"/>
      <x:c r="Q398" s="80" t="str">
        <x:v>https://leetcode.com/problems/transpose-matrix/</x:v>
      </x:c>
      <x:c r="R398" s="80" t="str"/>
      <x:c r="S398" s="84" t="n">
        <x:f>IF(AND(OR(H398="Solved",H398="Revised"),G398="New (counts toward 400)"),1,0)</x:f>
        <x:v>0</x:v>
      </x:c>
    </x:row>
    <x:row r="399" ht="48" customHeight="1">
      <x:c r="A399" s="84" t="n">
        <x:v>396</x:v>
      </x:c>
      <x:c r="B399" s="84" t="n">
        <x:v>566</x:v>
      </x:c>
      <x:c r="C399" s="80" t="str">
        <x:v>Reshape the Matrix</x:v>
      </x:c>
      <x:c r="D399" s="84" t="str">
        <x:v>Easy</x:v>
      </x:c>
      <x:c r="E399" s="84" t="str">
        <x:v>Matrix / Simulation</x:v>
      </x:c>
      <x:c r="F399" s="84" t="str">
        <x:v>P3</x:v>
      </x:c>
      <x:c r="G399" s="84" t="str">
        <x:v>New (counts toward 400)</x:v>
      </x:c>
      <x:c r="H399" s="84" t="str">
        <x:v>Not Started</x:v>
      </x:c>
      <x:c r="I399" s="80" t="str">
        <x:v>Use a secondary matrix or repeatedly scan the grid for each update/query.</x:v>
      </x:c>
      <x:c r="J399" s="80" t="str">
        <x:v>Exploit row/column order or traverse once; use in-place markers when allowed and visited-state BFS/DFS for connectivity.</x:v>
      </x:c>
      <x:c r="K399" s="80" t="str">
        <x:v>O(rows × cols) typical</x:v>
      </x:c>
      <x:c r="L399" s="80" t="str">
        <x:v>O(1) extra to O(rows × cols)</x:v>
      </x:c>
      <x:c r="M399" s="84" t="n">
        <x:v>0</x:v>
      </x:c>
      <x:c r="N399" s="86"/>
      <x:c r="O399" s="84"/>
      <x:c r="P399" s="86"/>
      <x:c r="Q399" s="80" t="str">
        <x:v>https://leetcode.com/problems/reshape-the-matrix/</x:v>
      </x:c>
      <x:c r="R399" s="80" t="str"/>
      <x:c r="S399" s="84" t="n">
        <x:f>IF(AND(OR(H399="Solved",H399="Revised"),G399="New (counts toward 400)"),1,0)</x:f>
        <x:v>0</x:v>
      </x:c>
    </x:row>
    <x:row r="400" ht="48" customHeight="1">
      <x:c r="A400" s="84" t="n">
        <x:v>397</x:v>
      </x:c>
      <x:c r="B400" s="84" t="n">
        <x:v>2022</x:v>
      </x:c>
      <x:c r="C400" s="80" t="str">
        <x:v>Convert 1D Array Into 2D Array</x:v>
      </x:c>
      <x:c r="D400" s="84" t="str">
        <x:v>Easy</x:v>
      </x:c>
      <x:c r="E400" s="84" t="str">
        <x:v>Matrix / Simulation</x:v>
      </x:c>
      <x:c r="F400" s="84" t="str">
        <x:v>P3</x:v>
      </x:c>
      <x:c r="G400" s="84" t="str">
        <x:v>New (counts toward 400)</x:v>
      </x:c>
      <x:c r="H400" s="84" t="str">
        <x:v>Not Started</x:v>
      </x:c>
      <x:c r="I400" s="80" t="str">
        <x:v>Use a secondary matrix or repeatedly scan the grid for each update/query.</x:v>
      </x:c>
      <x:c r="J400" s="80" t="str">
        <x:v>Exploit row/column order or traverse once; use in-place markers when allowed and visited-state BFS/DFS for connectivity.</x:v>
      </x:c>
      <x:c r="K400" s="80" t="str">
        <x:v>O(rows × cols) typical</x:v>
      </x:c>
      <x:c r="L400" s="80" t="str">
        <x:v>O(1) extra to O(rows × cols)</x:v>
      </x:c>
      <x:c r="M400" s="84" t="n">
        <x:v>0</x:v>
      </x:c>
      <x:c r="N400" s="86"/>
      <x:c r="O400" s="84"/>
      <x:c r="P400" s="86"/>
      <x:c r="Q400" s="80" t="str">
        <x:v>https://leetcode.com/problems/convert-1d-array-into-2d-array/</x:v>
      </x:c>
      <x:c r="R400" s="80" t="str"/>
      <x:c r="S400" s="84" t="n">
        <x:f>IF(AND(OR(H400="Solved",H400="Revised"),G400="New (counts toward 400)"),1,0)</x:f>
        <x:v>0</x:v>
      </x:c>
    </x:row>
    <x:row r="401" ht="48" customHeight="1">
      <x:c r="A401" s="84" t="n">
        <x:v>398</x:v>
      </x:c>
      <x:c r="B401" s="84" t="n">
        <x:v>1572</x:v>
      </x:c>
      <x:c r="C401" s="80" t="str">
        <x:v>Matrix Diagonal Sum</x:v>
      </x:c>
      <x:c r="D401" s="84" t="str">
        <x:v>Easy</x:v>
      </x:c>
      <x:c r="E401" s="84" t="str">
        <x:v>Matrix / Simulation</x:v>
      </x:c>
      <x:c r="F401" s="84" t="str">
        <x:v>P3</x:v>
      </x:c>
      <x:c r="G401" s="84" t="str">
        <x:v>New (counts toward 400)</x:v>
      </x:c>
      <x:c r="H401" s="84" t="str">
        <x:v>Not Started</x:v>
      </x:c>
      <x:c r="I401" s="80" t="str">
        <x:v>Use a secondary matrix or repeatedly scan the grid for each update/query.</x:v>
      </x:c>
      <x:c r="J401" s="80" t="str">
        <x:v>Exploit row/column order or traverse once; use in-place markers when allowed and visited-state BFS/DFS for connectivity.</x:v>
      </x:c>
      <x:c r="K401" s="80" t="str">
        <x:v>O(rows × cols) typical</x:v>
      </x:c>
      <x:c r="L401" s="80" t="str">
        <x:v>O(1) extra to O(rows × cols)</x:v>
      </x:c>
      <x:c r="M401" s="84" t="n">
        <x:v>0</x:v>
      </x:c>
      <x:c r="N401" s="86"/>
      <x:c r="O401" s="84"/>
      <x:c r="P401" s="86"/>
      <x:c r="Q401" s="80" t="str">
        <x:v>https://leetcode.com/problems/matrix-diagonal-sum/</x:v>
      </x:c>
      <x:c r="R401" s="80" t="str"/>
      <x:c r="S401" s="84" t="n">
        <x:f>IF(AND(OR(H401="Solved",H401="Revised"),G401="New (counts toward 400)"),1,0)</x:f>
        <x:v>0</x:v>
      </x:c>
    </x:row>
    <x:row r="402" ht="48" customHeight="1">
      <x:c r="A402" s="84" t="n">
        <x:v>399</x:v>
      </x:c>
      <x:c r="B402" s="84" t="n">
        <x:v>1351</x:v>
      </x:c>
      <x:c r="C402" s="80" t="str">
        <x:v>Count Negative Numbers in a Sorted Matrix</x:v>
      </x:c>
      <x:c r="D402" s="84" t="str">
        <x:v>Easy</x:v>
      </x:c>
      <x:c r="E402" s="84" t="str">
        <x:v>Matrix / Binary Search</x:v>
      </x:c>
      <x:c r="F402" s="84" t="str">
        <x:v>P3</x:v>
      </x:c>
      <x:c r="G402" s="84" t="str">
        <x:v>New (counts toward 400)</x:v>
      </x:c>
      <x:c r="H402" s="84" t="str">
        <x:v>Not Started</x:v>
      </x:c>
      <x:c r="I402" s="80" t="str">
        <x:v>Scan all candidates or test each possible answer.</x:v>
      </x:c>
      <x:c r="J402" s="80" t="str">
        <x:v>State the sorted/monotonic invariant and halve the interval; for answer search, define a feasibility check.</x:v>
      </x:c>
      <x:c r="K402" s="80" t="str">
        <x:v>O(log n) or O(n log range)</x:v>
      </x:c>
      <x:c r="L402" s="80" t="str">
        <x:v>O(1) extra</x:v>
      </x:c>
      <x:c r="M402" s="84" t="n">
        <x:v>0</x:v>
      </x:c>
      <x:c r="N402" s="86"/>
      <x:c r="O402" s="84"/>
      <x:c r="P402" s="86"/>
      <x:c r="Q402" s="80" t="str">
        <x:v>https://leetcode.com/problems/count-negative-numbers-in-a-sorted-matrix/</x:v>
      </x:c>
      <x:c r="R402" s="80" t="str"/>
      <x:c r="S402" s="84" t="n">
        <x:f>IF(AND(OR(H402="Solved",H402="Revised"),G402="New (counts toward 400)"),1,0)</x:f>
        <x:v>0</x:v>
      </x:c>
    </x:row>
    <x:row r="403" ht="48" customHeight="1">
      <x:c r="A403" s="84" t="n">
        <x:v>400</x:v>
      </x:c>
      <x:c r="B403" s="84" t="n">
        <x:v>329</x:v>
      </x:c>
      <x:c r="C403" s="80" t="str">
        <x:v>Longest Increasing Path in a Matrix</x:v>
      </x:c>
      <x:c r="D403" s="84" t="str">
        <x:v>Hard</x:v>
      </x:c>
      <x:c r="E403" s="84" t="str">
        <x:v>Matrix / DFS / DP</x:v>
      </x:c>
      <x:c r="F403" s="84" t="str">
        <x:v>P2</x:v>
      </x:c>
      <x:c r="G403" s="84" t="str">
        <x:v>New (counts toward 400)</x:v>
      </x:c>
      <x:c r="H403" s="84" t="str">
        <x:v>Not Started</x:v>
      </x:c>
      <x:c r="I403" s="80" t="str">
        <x:v>Express choices recursively without memoization; repeated subproblems can make this exponential.</x:v>
      </x:c>
      <x:c r="J403" s="80" t="str">
        <x:v>Define state, base cases, and transition; memoize, then tabulate and compress dimensions if dependencies allow.</x:v>
      </x:c>
      <x:c r="K403" s="80" t="str">
        <x:v>O(states × transitions)</x:v>
      </x:c>
      <x:c r="L403" s="80" t="str">
        <x:v>O(number of states)</x:v>
      </x:c>
      <x:c r="M403" s="84" t="n">
        <x:v>0</x:v>
      </x:c>
      <x:c r="N403" s="86"/>
      <x:c r="O403" s="84"/>
      <x:c r="P403" s="86"/>
      <x:c r="Q403" s="80" t="str">
        <x:v>https://leetcode.com/problems/longest-increasing-path-in-a-matrix/</x:v>
      </x:c>
      <x:c r="R403" s="80" t="str"/>
      <x:c r="S403" s="84" t="n">
        <x:f>IF(AND(OR(H403="Solved",H403="Revised"),G403="New (counts toward 400)"),1,0)</x:f>
        <x:v>0</x:v>
      </x:c>
    </x:row>
  </x:sheetData>
  <x:mergeCells>
    <x:mergeCell ref="A1:S1"/>
    <x:mergeCell ref="A2:S2"/>
  </x:mergeCells>
  <x:conditionalFormatting sqref="D4:D403">
    <x:cfRule type="expression" dxfId="0" priority="1">
      <x:formula>D4="Easy"</x:formula>
    </x:cfRule>
    <x:cfRule type="expression" dxfId="1" priority="2">
      <x:formula>D4="Medium"</x:formula>
    </x:cfRule>
    <x:cfRule type="expression" dxfId="2" priority="3">
      <x:formula>D4="Hard"</x:formula>
    </x:cfRule>
  </x:conditionalFormatting>
  <x:conditionalFormatting sqref="F4:F403">
    <x:cfRule type="expression" dxfId="3" priority="4">
      <x:formula>F4="P1"</x:formula>
    </x:cfRule>
  </x:conditionalFormatting>
  <x:conditionalFormatting sqref="H4:H403">
    <x:cfRule type="expression" dxfId="4" priority="5">
      <x:formula>H4="Solved"</x:formula>
    </x:cfRule>
    <x:cfRule type="expression" dxfId="5" priority="6">
      <x:formula>H4="Review Due"</x:formula>
    </x:cfRule>
  </x:conditionalFormatting>
  <x:conditionalFormatting sqref="S4:S403">
    <x:cfRule type="dataBar" priority="7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{F36F2779-E6E6-CE09-973E-60D8E19EA4DE}</x14:id>
        </x:ext>
      </x:extLst>
    </x:cfRule>
  </x:conditionalFormatting>
  <x:dataValidations count="3">
    <x:dataValidation type="list" sqref="G4:G403">
      <x:formula1>"New (counts toward 400),Python→C++ conversion,C++ revision,Review only"</x:formula1>
    </x:dataValidation>
    <x:dataValidation type="list" sqref="H4:H403">
      <x:formula1>"Not Started,In Progress,Solved,Review Due,Revised"</x:formula1>
    </x:dataValidation>
    <x:dataValidation type="list" sqref="O4:O403">
      <x:formula1>"1,2,3,4,5"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459030ba11f4b3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7" id="{F36F2779-E6E6-CE09-973E-60D8E19EA4DE}">
            <x14:dataBar gradient="0">
              <x14:cfvo type="min"/>
              <x14:cfvo type="max"/>
              <x14:fillColor rgb="FF0F766E"/>
            </x14:dataBar>
          </x14:cfRule>
          <xm:sqref>S4:S403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38" hidden="0" customWidth="1"/>
    <x:col min="3" max="3" width="10" hidden="0" customWidth="1"/>
    <x:col min="4" max="4" width="12" hidden="0" customWidth="1"/>
    <x:col min="5" max="5" width="28" hidden="0" customWidth="1"/>
    <x:col min="6" max="6" width="16" hidden="0" customWidth="1"/>
    <x:col min="7" max="7" width="16" hidden="0" customWidth="1"/>
    <x:col min="8" max="8" width="11" hidden="0" customWidth="1"/>
    <x:col min="9" max="9" width="15" hidden="0" customWidth="1"/>
    <x:col min="10" max="10" width="42" hidden="0" customWidth="1"/>
    <x:col min="11" max="11" width="48" hidden="0" customWidth="1"/>
  </x:cols>
  <x:sheetData>
    <x:row r="1">
      <x:c r="A1" s="90" t="str">
        <x:v>PYTHON → C++ CONVERSION TRACKER — 26 SLOTS
Profile shows 26 Python3-language solves, but the public profile view does not list their titles. Paste the exact LC title/ID into each row. These are revisions/conversions, not new problems toward the 400 goal.</x:v>
      </x:c>
      <x:c r="B1" s="90"/>
      <x:c r="C1" s="90"/>
      <x:c r="D1" s="90"/>
      <x:c r="E1" s="90"/>
      <x:c r="F1" s="90"/>
      <x:c r="G1" s="90"/>
      <x:c r="H1" s="90"/>
      <x:c r="I1" s="90"/>
      <x:c r="J1" s="90"/>
      <x:c r="K1" s="90"/>
    </x:row>
    <x:row r="2">
      <x:c r="A2" s="90"/>
      <x:c r="B2" s="90"/>
      <x:c r="C2" s="90"/>
      <x:c r="D2" s="90"/>
      <x:c r="E2" s="90"/>
      <x:c r="F2" s="90"/>
      <x:c r="G2" s="90"/>
      <x:c r="H2" s="90"/>
      <x:c r="I2" s="90"/>
      <x:c r="J2" s="90"/>
      <x:c r="K2" s="90"/>
    </x:row>
    <x:row r="3" ht="34" customHeight="1">
      <x:c r="A3" s="74" t="str">
        <x:v>Slot</x:v>
      </x:c>
      <x:c r="B3" s="74" t="str">
        <x:v>Problem Title</x:v>
      </x:c>
      <x:c r="C3" s="74" t="str">
        <x:v>LC ID</x:v>
      </x:c>
      <x:c r="D3" s="74" t="str">
        <x:v>Difficulty</x:v>
      </x:c>
      <x:c r="E3" s="74" t="str">
        <x:v>Pattern / Topic</x:v>
      </x:c>
      <x:c r="F3" s="74" t="str">
        <x:v>C++ Status</x:v>
      </x:c>
      <x:c r="G3" s="74" t="str">
        <x:v>Conversion Date</x:v>
      </x:c>
      <x:c r="H3" s="74" t="str">
        <x:v>Attempts</x:v>
      </x:c>
      <x:c r="I3" s="74" t="str">
        <x:v>Confidence (1–5)</x:v>
      </x:c>
      <x:c r="J3" s="74" t="str">
        <x:v>C++ Solution Link</x:v>
      </x:c>
      <x:c r="K3" s="74" t="str">
        <x:v>Python→C++ Notes / Bugs Learned</x:v>
      </x:c>
    </x:row>
    <x:row r="4" ht="36" customHeight="1">
      <x:c r="A4" s="47" t="n">
        <x:v>1</x:v>
      </x:c>
      <x:c r="B4" s="47"/>
      <x:c r="C4" s="47"/>
      <x:c r="D4" s="47"/>
      <x:c r="E4" s="47"/>
      <x:c r="F4" s="47" t="str">
        <x:v>Not Started</x:v>
      </x:c>
      <x:c r="G4" s="94"/>
      <x:c r="H4" s="47" t="n">
        <x:v>0</x:v>
      </x:c>
      <x:c r="I4" s="47"/>
      <x:c r="J4" s="47"/>
      <x:c r="K4" s="47"/>
    </x:row>
    <x:row r="5" ht="36" customHeight="1">
      <x:c r="A5" s="47" t="n">
        <x:v>2</x:v>
      </x:c>
      <x:c r="B5" s="47"/>
      <x:c r="C5" s="47"/>
      <x:c r="D5" s="47"/>
      <x:c r="E5" s="47"/>
      <x:c r="F5" s="47" t="str">
        <x:v>Not Started</x:v>
      </x:c>
      <x:c r="G5" s="94"/>
      <x:c r="H5" s="47" t="n">
        <x:v>0</x:v>
      </x:c>
      <x:c r="I5" s="47"/>
      <x:c r="J5" s="47"/>
      <x:c r="K5" s="47"/>
    </x:row>
    <x:row r="6" ht="36" customHeight="1">
      <x:c r="A6" s="47" t="n">
        <x:v>3</x:v>
      </x:c>
      <x:c r="B6" s="47"/>
      <x:c r="C6" s="47"/>
      <x:c r="D6" s="47"/>
      <x:c r="E6" s="47"/>
      <x:c r="F6" s="47" t="str">
        <x:v>Not Started</x:v>
      </x:c>
      <x:c r="G6" s="94"/>
      <x:c r="H6" s="47" t="n">
        <x:v>0</x:v>
      </x:c>
      <x:c r="I6" s="47"/>
      <x:c r="J6" s="47"/>
      <x:c r="K6" s="47"/>
    </x:row>
    <x:row r="7" ht="36" customHeight="1">
      <x:c r="A7" s="47" t="n">
        <x:v>4</x:v>
      </x:c>
      <x:c r="B7" s="47"/>
      <x:c r="C7" s="47"/>
      <x:c r="D7" s="47"/>
      <x:c r="E7" s="47"/>
      <x:c r="F7" s="47" t="str">
        <x:v>Not Started</x:v>
      </x:c>
      <x:c r="G7" s="94"/>
      <x:c r="H7" s="47" t="n">
        <x:v>0</x:v>
      </x:c>
      <x:c r="I7" s="47"/>
      <x:c r="J7" s="47"/>
      <x:c r="K7" s="47"/>
    </x:row>
    <x:row r="8" ht="36" customHeight="1">
      <x:c r="A8" s="47" t="n">
        <x:v>5</x:v>
      </x:c>
      <x:c r="B8" s="47"/>
      <x:c r="C8" s="47"/>
      <x:c r="D8" s="47"/>
      <x:c r="E8" s="47"/>
      <x:c r="F8" s="47" t="str">
        <x:v>Not Started</x:v>
      </x:c>
      <x:c r="G8" s="94"/>
      <x:c r="H8" s="47" t="n">
        <x:v>0</x:v>
      </x:c>
      <x:c r="I8" s="47"/>
      <x:c r="J8" s="47"/>
      <x:c r="K8" s="47"/>
    </x:row>
    <x:row r="9" ht="36" customHeight="1">
      <x:c r="A9" s="47" t="n">
        <x:v>6</x:v>
      </x:c>
      <x:c r="B9" s="47"/>
      <x:c r="C9" s="47"/>
      <x:c r="D9" s="47"/>
      <x:c r="E9" s="47"/>
      <x:c r="F9" s="47" t="str">
        <x:v>Not Started</x:v>
      </x:c>
      <x:c r="G9" s="94"/>
      <x:c r="H9" s="47" t="n">
        <x:v>0</x:v>
      </x:c>
      <x:c r="I9" s="47"/>
      <x:c r="J9" s="47"/>
      <x:c r="K9" s="47"/>
    </x:row>
    <x:row r="10" ht="36" customHeight="1">
      <x:c r="A10" s="47" t="n">
        <x:v>7</x:v>
      </x:c>
      <x:c r="B10" s="47"/>
      <x:c r="C10" s="47"/>
      <x:c r="D10" s="47"/>
      <x:c r="E10" s="47"/>
      <x:c r="F10" s="47" t="str">
        <x:v>Not Started</x:v>
      </x:c>
      <x:c r="G10" s="94"/>
      <x:c r="H10" s="47" t="n">
        <x:v>0</x:v>
      </x:c>
      <x:c r="I10" s="47"/>
      <x:c r="J10" s="47"/>
      <x:c r="K10" s="47"/>
    </x:row>
    <x:row r="11" ht="36" customHeight="1">
      <x:c r="A11" s="47" t="n">
        <x:v>8</x:v>
      </x:c>
      <x:c r="B11" s="47"/>
      <x:c r="C11" s="47"/>
      <x:c r="D11" s="47"/>
      <x:c r="E11" s="47"/>
      <x:c r="F11" s="47" t="str">
        <x:v>Not Started</x:v>
      </x:c>
      <x:c r="G11" s="94"/>
      <x:c r="H11" s="47" t="n">
        <x:v>0</x:v>
      </x:c>
      <x:c r="I11" s="47"/>
      <x:c r="J11" s="47"/>
      <x:c r="K11" s="47"/>
    </x:row>
    <x:row r="12" ht="36" customHeight="1">
      <x:c r="A12" s="47" t="n">
        <x:v>9</x:v>
      </x:c>
      <x:c r="B12" s="47"/>
      <x:c r="C12" s="47"/>
      <x:c r="D12" s="47"/>
      <x:c r="E12" s="47"/>
      <x:c r="F12" s="47" t="str">
        <x:v>Not Started</x:v>
      </x:c>
      <x:c r="G12" s="94"/>
      <x:c r="H12" s="47" t="n">
        <x:v>0</x:v>
      </x:c>
      <x:c r="I12" s="47"/>
      <x:c r="J12" s="47"/>
      <x:c r="K12" s="47"/>
    </x:row>
    <x:row r="13" ht="36" customHeight="1">
      <x:c r="A13" s="47" t="n">
        <x:v>10</x:v>
      </x:c>
      <x:c r="B13" s="47"/>
      <x:c r="C13" s="47"/>
      <x:c r="D13" s="47"/>
      <x:c r="E13" s="47"/>
      <x:c r="F13" s="47" t="str">
        <x:v>Not Started</x:v>
      </x:c>
      <x:c r="G13" s="94"/>
      <x:c r="H13" s="47" t="n">
        <x:v>0</x:v>
      </x:c>
      <x:c r="I13" s="47"/>
      <x:c r="J13" s="47"/>
      <x:c r="K13" s="47"/>
    </x:row>
    <x:row r="14" ht="36" customHeight="1">
      <x:c r="A14" s="47" t="n">
        <x:v>11</x:v>
      </x:c>
      <x:c r="B14" s="47"/>
      <x:c r="C14" s="47"/>
      <x:c r="D14" s="47"/>
      <x:c r="E14" s="47"/>
      <x:c r="F14" s="47" t="str">
        <x:v>Not Started</x:v>
      </x:c>
      <x:c r="G14" s="94"/>
      <x:c r="H14" s="47" t="n">
        <x:v>0</x:v>
      </x:c>
      <x:c r="I14" s="47"/>
      <x:c r="J14" s="47"/>
      <x:c r="K14" s="47"/>
    </x:row>
    <x:row r="15" ht="36" customHeight="1">
      <x:c r="A15" s="47" t="n">
        <x:v>12</x:v>
      </x:c>
      <x:c r="B15" s="47"/>
      <x:c r="C15" s="47"/>
      <x:c r="D15" s="47"/>
      <x:c r="E15" s="47"/>
      <x:c r="F15" s="47" t="str">
        <x:v>Not Started</x:v>
      </x:c>
      <x:c r="G15" s="94"/>
      <x:c r="H15" s="47" t="n">
        <x:v>0</x:v>
      </x:c>
      <x:c r="I15" s="47"/>
      <x:c r="J15" s="47"/>
      <x:c r="K15" s="47"/>
    </x:row>
    <x:row r="16" ht="36" customHeight="1">
      <x:c r="A16" s="47" t="n">
        <x:v>13</x:v>
      </x:c>
      <x:c r="B16" s="47"/>
      <x:c r="C16" s="47"/>
      <x:c r="D16" s="47"/>
      <x:c r="E16" s="47"/>
      <x:c r="F16" s="47" t="str">
        <x:v>Not Started</x:v>
      </x:c>
      <x:c r="G16" s="94"/>
      <x:c r="H16" s="47" t="n">
        <x:v>0</x:v>
      </x:c>
      <x:c r="I16" s="47"/>
      <x:c r="J16" s="47"/>
      <x:c r="K16" s="47"/>
    </x:row>
    <x:row r="17" ht="36" customHeight="1">
      <x:c r="A17" s="47" t="n">
        <x:v>14</x:v>
      </x:c>
      <x:c r="B17" s="47"/>
      <x:c r="C17" s="47"/>
      <x:c r="D17" s="47"/>
      <x:c r="E17" s="47"/>
      <x:c r="F17" s="47" t="str">
        <x:v>Not Started</x:v>
      </x:c>
      <x:c r="G17" s="94"/>
      <x:c r="H17" s="47" t="n">
        <x:v>0</x:v>
      </x:c>
      <x:c r="I17" s="47"/>
      <x:c r="J17" s="47"/>
      <x:c r="K17" s="47"/>
    </x:row>
    <x:row r="18" ht="36" customHeight="1">
      <x:c r="A18" s="47" t="n">
        <x:v>15</x:v>
      </x:c>
      <x:c r="B18" s="47"/>
      <x:c r="C18" s="47"/>
      <x:c r="D18" s="47"/>
      <x:c r="E18" s="47"/>
      <x:c r="F18" s="47" t="str">
        <x:v>Not Started</x:v>
      </x:c>
      <x:c r="G18" s="94"/>
      <x:c r="H18" s="47" t="n">
        <x:v>0</x:v>
      </x:c>
      <x:c r="I18" s="47"/>
      <x:c r="J18" s="47"/>
      <x:c r="K18" s="47"/>
    </x:row>
    <x:row r="19" ht="36" customHeight="1">
      <x:c r="A19" s="47" t="n">
        <x:v>16</x:v>
      </x:c>
      <x:c r="B19" s="47"/>
      <x:c r="C19" s="47"/>
      <x:c r="D19" s="47"/>
      <x:c r="E19" s="47"/>
      <x:c r="F19" s="47" t="str">
        <x:v>Not Started</x:v>
      </x:c>
      <x:c r="G19" s="94"/>
      <x:c r="H19" s="47" t="n">
        <x:v>0</x:v>
      </x:c>
      <x:c r="I19" s="47"/>
      <x:c r="J19" s="47"/>
      <x:c r="K19" s="47"/>
    </x:row>
    <x:row r="20" ht="36" customHeight="1">
      <x:c r="A20" s="47" t="n">
        <x:v>17</x:v>
      </x:c>
      <x:c r="B20" s="47"/>
      <x:c r="C20" s="47"/>
      <x:c r="D20" s="47"/>
      <x:c r="E20" s="47"/>
      <x:c r="F20" s="47" t="str">
        <x:v>Not Started</x:v>
      </x:c>
      <x:c r="G20" s="94"/>
      <x:c r="H20" s="47" t="n">
        <x:v>0</x:v>
      </x:c>
      <x:c r="I20" s="47"/>
      <x:c r="J20" s="47"/>
      <x:c r="K20" s="47"/>
    </x:row>
    <x:row r="21" ht="36" customHeight="1">
      <x:c r="A21" s="47" t="n">
        <x:v>18</x:v>
      </x:c>
      <x:c r="B21" s="47"/>
      <x:c r="C21" s="47"/>
      <x:c r="D21" s="47"/>
      <x:c r="E21" s="47"/>
      <x:c r="F21" s="47" t="str">
        <x:v>Not Started</x:v>
      </x:c>
      <x:c r="G21" s="94"/>
      <x:c r="H21" s="47" t="n">
        <x:v>0</x:v>
      </x:c>
      <x:c r="I21" s="47"/>
      <x:c r="J21" s="47"/>
      <x:c r="K21" s="47"/>
    </x:row>
    <x:row r="22" ht="36" customHeight="1">
      <x:c r="A22" s="47" t="n">
        <x:v>19</x:v>
      </x:c>
      <x:c r="B22" s="47"/>
      <x:c r="C22" s="47"/>
      <x:c r="D22" s="47"/>
      <x:c r="E22" s="47"/>
      <x:c r="F22" s="47" t="str">
        <x:v>Not Started</x:v>
      </x:c>
      <x:c r="G22" s="94"/>
      <x:c r="H22" s="47" t="n">
        <x:v>0</x:v>
      </x:c>
      <x:c r="I22" s="47"/>
      <x:c r="J22" s="47"/>
      <x:c r="K22" s="47"/>
    </x:row>
    <x:row r="23" ht="36" customHeight="1">
      <x:c r="A23" s="47" t="n">
        <x:v>20</x:v>
      </x:c>
      <x:c r="B23" s="47"/>
      <x:c r="C23" s="47"/>
      <x:c r="D23" s="47"/>
      <x:c r="E23" s="47"/>
      <x:c r="F23" s="47" t="str">
        <x:v>Not Started</x:v>
      </x:c>
      <x:c r="G23" s="94"/>
      <x:c r="H23" s="47" t="n">
        <x:v>0</x:v>
      </x:c>
      <x:c r="I23" s="47"/>
      <x:c r="J23" s="47"/>
      <x:c r="K23" s="47"/>
    </x:row>
    <x:row r="24" ht="36" customHeight="1">
      <x:c r="A24" s="47" t="n">
        <x:v>21</x:v>
      </x:c>
      <x:c r="B24" s="47"/>
      <x:c r="C24" s="47"/>
      <x:c r="D24" s="47"/>
      <x:c r="E24" s="47"/>
      <x:c r="F24" s="47" t="str">
        <x:v>Not Started</x:v>
      </x:c>
      <x:c r="G24" s="94"/>
      <x:c r="H24" s="47" t="n">
        <x:v>0</x:v>
      </x:c>
      <x:c r="I24" s="47"/>
      <x:c r="J24" s="47"/>
      <x:c r="K24" s="47"/>
    </x:row>
    <x:row r="25" ht="36" customHeight="1">
      <x:c r="A25" s="47" t="n">
        <x:v>22</x:v>
      </x:c>
      <x:c r="B25" s="47"/>
      <x:c r="C25" s="47"/>
      <x:c r="D25" s="47"/>
      <x:c r="E25" s="47"/>
      <x:c r="F25" s="47" t="str">
        <x:v>Not Started</x:v>
      </x:c>
      <x:c r="G25" s="94"/>
      <x:c r="H25" s="47" t="n">
        <x:v>0</x:v>
      </x:c>
      <x:c r="I25" s="47"/>
      <x:c r="J25" s="47"/>
      <x:c r="K25" s="47"/>
    </x:row>
    <x:row r="26" ht="36" customHeight="1">
      <x:c r="A26" s="47" t="n">
        <x:v>23</x:v>
      </x:c>
      <x:c r="B26" s="47"/>
      <x:c r="C26" s="47"/>
      <x:c r="D26" s="47"/>
      <x:c r="E26" s="47"/>
      <x:c r="F26" s="47" t="str">
        <x:v>Not Started</x:v>
      </x:c>
      <x:c r="G26" s="94"/>
      <x:c r="H26" s="47" t="n">
        <x:v>0</x:v>
      </x:c>
      <x:c r="I26" s="47"/>
      <x:c r="J26" s="47"/>
      <x:c r="K26" s="47"/>
    </x:row>
    <x:row r="27" ht="36" customHeight="1">
      <x:c r="A27" s="47" t="n">
        <x:v>24</x:v>
      </x:c>
      <x:c r="B27" s="47"/>
      <x:c r="C27" s="47"/>
      <x:c r="D27" s="47"/>
      <x:c r="E27" s="47"/>
      <x:c r="F27" s="47" t="str">
        <x:v>Not Started</x:v>
      </x:c>
      <x:c r="G27" s="94"/>
      <x:c r="H27" s="47" t="n">
        <x:v>0</x:v>
      </x:c>
      <x:c r="I27" s="47"/>
      <x:c r="J27" s="47"/>
      <x:c r="K27" s="47"/>
    </x:row>
    <x:row r="28" ht="36" customHeight="1">
      <x:c r="A28" s="47" t="n">
        <x:v>25</x:v>
      </x:c>
      <x:c r="B28" s="47"/>
      <x:c r="C28" s="47"/>
      <x:c r="D28" s="47"/>
      <x:c r="E28" s="47"/>
      <x:c r="F28" s="47" t="str">
        <x:v>Not Started</x:v>
      </x:c>
      <x:c r="G28" s="94"/>
      <x:c r="H28" s="47" t="n">
        <x:v>0</x:v>
      </x:c>
      <x:c r="I28" s="47"/>
      <x:c r="J28" s="47"/>
      <x:c r="K28" s="47"/>
    </x:row>
    <x:row r="29" ht="36" customHeight="1">
      <x:c r="A29" s="47" t="n">
        <x:v>26</x:v>
      </x:c>
      <x:c r="B29" s="47"/>
      <x:c r="C29" s="47"/>
      <x:c r="D29" s="47"/>
      <x:c r="E29" s="47"/>
      <x:c r="F29" s="47" t="str">
        <x:v>Not Started</x:v>
      </x:c>
      <x:c r="G29" s="94"/>
      <x:c r="H29" s="47" t="n">
        <x:v>0</x:v>
      </x:c>
      <x:c r="I29" s="47"/>
      <x:c r="J29" s="47"/>
      <x:c r="K29" s="47"/>
    </x:row>
  </x:sheetData>
  <x:mergeCells>
    <x:mergeCell ref="A1:K2"/>
  </x:mergeCells>
  <x:conditionalFormatting sqref="F4:F29">
    <x:cfRule type="expression" dxfId="6" priority="1">
      <x:formula>F4="Solved"</x:formula>
    </x:cfRule>
    <x:cfRule type="expression" dxfId="7" priority="2">
      <x:formula>F4="Revised"</x:formula>
    </x:cfRule>
  </x:conditionalFormatting>
  <x:dataValidations count="3">
    <x:dataValidation type="list" sqref="D4:D29">
      <x:formula1>"Easy,Medium,Hard"</x:formula1>
    </x:dataValidation>
    <x:dataValidation type="list" sqref="F4:F29">
      <x:formula1>"Not Started,In Progress,Solved,Revised"</x:formula1>
    </x:dataValidation>
    <x:dataValidation type="list" sqref="I4:I29">
      <x:formula1>"1,2,3,4,5"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fbd0a2c6ee14631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16" hidden="0" customWidth="1"/>
    <x:col min="3" max="3" width="34" hidden="0" customWidth="1"/>
    <x:col min="4" max="4" width="42" hidden="0" customWidth="1"/>
    <x:col min="5" max="5" width="42" hidden="0" customWidth="1"/>
    <x:col min="6" max="6" width="33" hidden="0" customWidth="1"/>
    <x:col min="7" max="7" width="37" hidden="0" customWidth="1"/>
  </x:cols>
  <x:sheetData>
    <x:row r="1">
      <x:c r="A1" s="98" t="str">
        <x:v>8-WEEK AMAZON INTERVIEW ROADMAP — 400 NEW PROBLEMS</x:v>
      </x:c>
      <x:c r="B1" s="98"/>
      <x:c r="C1" s="98"/>
      <x:c r="D1" s="98"/>
      <x:c r="E1" s="98"/>
      <x:c r="F1" s="98"/>
      <x:c r="G1" s="98"/>
    </x:row>
    <x:row r="2">
      <x:c r="A2" s="98"/>
      <x:c r="B2" s="98"/>
      <x:c r="C2" s="98"/>
      <x:c r="D2" s="98"/>
      <x:c r="E2" s="98"/>
      <x:c r="F2" s="98"/>
      <x:c r="G2" s="98"/>
    </x:row>
    <x:row r="4">
      <x:c r="A4" s="73" t="str">
        <x:v>Week</x:v>
      </x:c>
      <x:c r="B4" s="73" t="str">
        <x:v>Target New Solves</x:v>
      </x:c>
      <x:c r="C4" s="73" t="str">
        <x:v>Focus Areas</x:v>
      </x:c>
      <x:c r="D4" s="73" t="str">
        <x:v>Core Patterns</x:v>
      </x:c>
      <x:c r="E4" s="73" t="str">
        <x:v>Weekly Checkpoint</x:v>
      </x:c>
      <x:c r="F4" s="73" t="str">
        <x:v>Amazon Interview Practice</x:v>
      </x:c>
      <x:c r="G4" s="73" t="str">
        <x:v>Review Allocation</x:v>
      </x:c>
    </x:row>
    <x:row r="5" ht="76" customHeight="1">
      <x:c r="A5" s="80" t="n">
        <x:v>1</x:v>
      </x:c>
      <x:c r="B5" s="80" t="n">
        <x:v>50</x:v>
      </x:c>
      <x:c r="C5" s="80" t="str">
        <x:v>Arrays, hashing, prefix sums, two pointers</x:v>
      </x:c>
      <x:c r="D5" s="80" t="str">
        <x:v>Hash map/set, frequency counts, prefix sum, in-place operations</x:v>
      </x:c>
      <x:c r="E5" s="80" t="str">
        <x:v>Explain brute force vs one-pass improvement for 10 core problems</x:v>
      </x:c>
      <x:c r="F5" s="80" t="str">
        <x:v>2 timed 35-minute problems</x:v>
      </x:c>
      <x:c r="G5" s="80" t="str">
        <x:v>Daily 30–45 min: revise 2 prior questions</x:v>
      </x:c>
    </x:row>
    <x:row r="6" ht="76" customHeight="1">
      <x:c r="A6" s="80" t="n">
        <x:v>2</x:v>
      </x:c>
      <x:c r="B6" s="80" t="n">
        <x:v>50</x:v>
      </x:c>
      <x:c r="C6" s="80" t="str">
        <x:v>Strings, sliding window, linked lists, stacks/queues</x:v>
      </x:c>
      <x:c r="D6" s="80" t="str">
        <x:v>Window invariants, fast/slow pointers, dummy nodes, monotonic stack</x:v>
      </x:c>
      <x:c r="E6" s="80" t="str">
        <x:v>Implement linked-list pointer rewiring without bugs</x:v>
      </x:c>
      <x:c r="F6" s="80" t="str">
        <x:v>2 timed OA-style questions</x:v>
      </x:c>
      <x:c r="G6" s="80" t="str">
        <x:v>Revisit all missed week-1 problems</x:v>
      </x:c>
    </x:row>
    <x:row r="7" ht="76" customHeight="1">
      <x:c r="A7" s="80" t="n">
        <x:v>3</x:v>
      </x:c>
      <x:c r="B7" s="80" t="n">
        <x:v>50</x:v>
      </x:c>
      <x:c r="C7" s="80" t="str">
        <x:v>Binary search, intervals, greedy, heaps</x:v>
      </x:c>
      <x:c r="D7" s="80" t="str">
        <x:v>Binary search on answer, interval merge, top-k, two heaps</x:v>
      </x:c>
      <x:c r="E7" s="80" t="str">
        <x:v>Write the feasibility function before binary-search-on-answer problems</x:v>
      </x:c>
      <x:c r="F7" s="80" t="str">
        <x:v>1 timed OA set + 1 heap/interval mock</x:v>
      </x:c>
      <x:c r="G7" s="80" t="str">
        <x:v>Spaced review at +1 and +3 days</x:v>
      </x:c>
    </x:row>
    <x:row r="8" ht="76" customHeight="1">
      <x:c r="A8" s="80" t="n">
        <x:v>4</x:v>
      </x:c>
      <x:c r="B8" s="80" t="n">
        <x:v>50</x:v>
      </x:c>
      <x:c r="C8" s="80" t="str">
        <x:v>Binary trees and BSTs</x:v>
      </x:c>
      <x:c r="D8" s="80" t="str">
        <x:v>DFS return values, BFS by level, bounds, LCA, serialization</x:v>
      </x:c>
      <x:c r="E8" s="80" t="str">
        <x:v>Solve 5 tree problems from memory and state complexity</x:v>
      </x:c>
      <x:c r="F8" s="80" t="str">
        <x:v>2 tree-heavy mock interviews</x:v>
      </x:c>
      <x:c r="G8" s="80" t="str">
        <x:v>Re-solve the hardest 10 without looking at notes</x:v>
      </x:c>
    </x:row>
    <x:row r="9" ht="76" customHeight="1">
      <x:c r="A9" s="80" t="n">
        <x:v>5</x:v>
      </x:c>
      <x:c r="B9" s="80" t="n">
        <x:v>50</x:v>
      </x:c>
      <x:c r="C9" s="80" t="str">
        <x:v>Graphs</x:v>
      </x:c>
      <x:c r="D9" s="80" t="str">
        <x:v>BFS/DFS, connected components, topo sort, DSU, Dijkstra</x:v>
      </x:c>
      <x:c r="E9" s="80" t="str">
        <x:v>Choose the right graph algorithm from constraints</x:v>
      </x:c>
      <x:c r="F9" s="80" t="str">
        <x:v>1 graph OA set + 1 mock</x:v>
      </x:c>
      <x:c r="G9" s="80" t="str">
        <x:v>Review visited-state and cycle-detection mistakes</x:v>
      </x:c>
    </x:row>
    <x:row r="10" ht="76" customHeight="1">
      <x:c r="A10" s="80" t="n">
        <x:v>6</x:v>
      </x:c>
      <x:c r="B10" s="80" t="n">
        <x:v>50</x:v>
      </x:c>
      <x:c r="C10" s="80" t="str">
        <x:v>Dynamic programming fundamentals</x:v>
      </x:c>
      <x:c r="D10" s="80" t="str">
        <x:v>1D DP, grid DP, knapsack, subsequence DP, memoization</x:v>
      </x:c>
      <x:c r="E10" s="80" t="str">
        <x:v>State + transition + base cases for each DP problem</x:v>
      </x:c>
      <x:c r="F10" s="80" t="str">
        <x:v>2 medium DP timed sets</x:v>
      </x:c>
      <x:c r="G10" s="80" t="str">
        <x:v>Redo failed DP problems after 24–72 hours</x:v>
      </x:c>
    </x:row>
    <x:row r="11" ht="76" customHeight="1">
      <x:c r="A11" s="80" t="n">
        <x:v>7</x:v>
      </x:c>
      <x:c r="B11" s="80" t="n">
        <x:v>50</x:v>
      </x:c>
      <x:c r="C11" s="80" t="str">
        <x:v>Advanced DP, backtracking, trie, bit/math</x:v>
      </x:c>
      <x:c r="D11" s="80" t="str">
        <x:v>Pruning, state compression, interval DP, trie prefixes, XOR</x:v>
      </x:c>
      <x:c r="E11" s="80" t="str">
        <x:v>Explain exponential brute force and why pruning/DP helps</x:v>
      </x:c>
      <x:c r="F11" s="80" t="str">
        <x:v>1 advanced mock + 1 mixed mock</x:v>
      </x:c>
      <x:c r="G11" s="80" t="str">
        <x:v>Convert selected Python solutions to idiomatic C++</x:v>
      </x:c>
    </x:row>
    <x:row r="12" ht="76" customHeight="1">
      <x:c r="A12" s="80" t="n">
        <x:v>8</x:v>
      </x:c>
      <x:c r="B12" s="80" t="n">
        <x:v>50</x:v>
      </x:c>
      <x:c r="C12" s="80" t="str">
        <x:v>Amazon high-signal mix and weakest topics</x:v>
      </x:c>
      <x:c r="D12" s="80" t="str">
        <x:v>Mixed-topic recognition, edge cases, complexity, clean C++</x:v>
      </x:c>
      <x:c r="E12" s="80" t="str">
        <x:v>Complete two full mock interviews and review every miss</x:v>
      </x:c>
      <x:c r="F12" s="80" t="str">
        <x:v>3 timed mocks; prepare STAR stories separately</x:v>
      </x:c>
      <x:c r="G12" s="80" t="str">
        <x:v>Prioritize P1 misses; do not count revisions as new solves</x:v>
      </x:c>
    </x:row>
    <x:row r="14">
      <x:c r="A14" s="37" t="str">
        <x:v>PACE CHECK</x:v>
      </x:c>
      <x:c r="B14" s="37"/>
      <x:c r="C14" s="37"/>
      <x:c r="D14" s="37"/>
      <x:c r="E14" s="37"/>
      <x:c r="F14" s="37"/>
      <x:c r="G14" s="37"/>
    </x:row>
    <x:row r="15">
      <x:c r="A15" s="104" t="str">
        <x:v>400 / 60 calendar days = 6.7 new problems/day on average. This is very aggressive if you also need to learn the pattern and write C++ independently. Aim for 8–10 new problems on 6 focused days per week, protect a daily revision block, and use the tracker to keep conversions/revisions separate from new solves. A 30-day finish would require about 13.3 new problems/day.</x:v>
      </x:c>
      <x:c r="B15" s="104"/>
      <x:c r="C15" s="104"/>
      <x:c r="D15" s="104"/>
      <x:c r="E15" s="104"/>
      <x:c r="F15" s="104"/>
      <x:c r="G15" s="104"/>
    </x:row>
    <x:row r="16">
      <x:c r="A16" s="104"/>
      <x:c r="B16" s="104"/>
      <x:c r="C16" s="104"/>
      <x:c r="D16" s="104"/>
      <x:c r="E16" s="104"/>
      <x:c r="F16" s="104"/>
      <x:c r="G16" s="104"/>
    </x:row>
  </x:sheetData>
  <x:mergeCells>
    <x:mergeCell ref="A1:G2"/>
    <x:mergeCell ref="A14:G14"/>
    <x:mergeCell ref="A15:G1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36" hidden="0" customWidth="1"/>
    <x:col min="3" max="3" width="42" hidden="0" customWidth="1"/>
    <x:col min="4" max="4" width="46" hidden="0" customWidth="1"/>
    <x:col min="5" max="5" width="30" hidden="0" customWidth="1"/>
    <x:col min="6" max="6" width="42" hidden="0" customWidth="1"/>
  </x:cols>
  <x:sheetData>
    <x:row r="1">
      <x:c r="A1" s="60" t="str">
        <x:v>PATTERN LIBRARY — BRUTE FORCE → OPTIMIZED THINKING</x:v>
      </x:c>
      <x:c r="B1" s="60"/>
      <x:c r="C1" s="60"/>
      <x:c r="D1" s="60"/>
      <x:c r="E1" s="60"/>
      <x:c r="F1" s="60"/>
    </x:row>
    <x:row r="2">
      <x:c r="A2" s="60"/>
      <x:c r="B2" s="60"/>
      <x:c r="C2" s="60"/>
      <x:c r="D2" s="60"/>
      <x:c r="E2" s="60"/>
      <x:c r="F2" s="60"/>
    </x:row>
    <x:row r="4">
      <x:c r="A4" s="73" t="str">
        <x:v>Pattern</x:v>
      </x:c>
      <x:c r="B4" s="73" t="str">
        <x:v>Signal in the question</x:v>
      </x:c>
      <x:c r="C4" s="73" t="str">
        <x:v>Brute-force baseline</x:v>
      </x:c>
      <x:c r="D4" s="73" t="str">
        <x:v>Optimized move</x:v>
      </x:c>
      <x:c r="E4" s="73" t="str">
        <x:v>Common target complexity</x:v>
      </x:c>
      <x:c r="F4" s="73" t="str">
        <x:v>C++ reminders</x:v>
      </x:c>
    </x:row>
    <x:row r="5" ht="65" customHeight="1">
      <x:c r="A5" s="80" t="str">
        <x:v>Hashing / frequency</x:v>
      </x:c>
      <x:c r="B5" s="80" t="str">
        <x:v>Find pair, duplicate, counts, grouping, seen-before</x:v>
      </x:c>
      <x:c r="C5" s="80" t="str">
        <x:v>Nested scan or repeatedly count occurrences.</x:v>
      </x:c>
      <x:c r="D5" s="80" t="str">
        <x:v>unordered_map/unordered_set or fixed-size frequency array.</x:v>
      </x:c>
      <x:c r="E5" s="80" t="str">
        <x:v>O(n) expected time, O(n) space</x:v>
      </x:c>
      <x:c r="F5" s="80" t="str">
        <x:v>Use find() before operator[] if insertion side effects matter.</x:v>
      </x:c>
    </x:row>
    <x:row r="6" ht="65" customHeight="1">
      <x:c r="A6" s="80" t="str">
        <x:v>Two pointers</x:v>
      </x:c>
      <x:c r="B6" s="80" t="str">
        <x:v>Sorted array, pair/triple sum, palindrome, in-place compaction</x:v>
      </x:c>
      <x:c r="C6" s="80" t="str">
        <x:v>Enumerate pairs or all possible boundaries.</x:v>
      </x:c>
      <x:c r="D6" s="80" t="str">
        <x:v>Move the pointer that can improve the invariant; sort first when allowed.</x:v>
      </x:c>
      <x:c r="E6" s="80" t="str">
        <x:v>O(n) after sort, or O(n log n) including sort</x:v>
      </x:c>
      <x:c r="F6" s="80" t="str">
        <x:v>Be explicit about duplicate skipping and integer overflow.</x:v>
      </x:c>
    </x:row>
    <x:row r="7" ht="65" customHeight="1">
      <x:c r="A7" s="80" t="str">
        <x:v>Sliding window</x:v>
      </x:c>
      <x:c r="B7" s="80" t="str">
        <x:v>Longest/shortest contiguous substring/subarray with a condition</x:v>
      </x:c>
      <x:c r="C7" s="80" t="str">
        <x:v>Check each substring/window independently.</x:v>
      </x:c>
      <x:c r="D7" s="80" t="str">
        <x:v>Expand right; shrink left until the invariant is restored.</x:v>
      </x:c>
      <x:c r="E7" s="80" t="str">
        <x:v>O(n) when each pointer only advances</x:v>
      </x:c>
      <x:c r="F7" s="80" t="str">
        <x:v>For minimum windows, update the answer only while the window is valid.</x:v>
      </x:c>
    </x:row>
    <x:row r="8" ht="65" customHeight="1">
      <x:c r="A8" s="80" t="str">
        <x:v>Prefix sum</x:v>
      </x:c>
      <x:c r="B8" s="80" t="str">
        <x:v>Subarray sum, range sum, balance counts</x:v>
      </x:c>
      <x:c r="C8" s="80" t="str">
        <x:v>Recompute every range sum.</x:v>
      </x:c>
      <x:c r="D8" s="80" t="str">
        <x:v>Prefix differences; map prefix sum→frequency for target-sum counts.</x:v>
      </x:c>
      <x:c r="E8" s="80" t="str">
        <x:v>O(n) time, O(n) space</x:v>
      </x:c>
      <x:c r="F8" s="80" t="str">
        <x:v>Initialize prefix[0]=0 or map[0]=1 where appropriate.</x:v>
      </x:c>
    </x:row>
    <x:row r="9" ht="65" customHeight="1">
      <x:c r="A9" s="80" t="str">
        <x:v>Binary search</x:v>
      </x:c>
      <x:c r="B9" s="80" t="str">
        <x:v>Sorted values or monotonic yes/no feasibility</x:v>
      </x:c>
      <x:c r="C9" s="80" t="str">
        <x:v>Linear scan or test candidate answers one by one.</x:v>
      </x:c>
      <x:c r="D9" s="80" t="str">
        <x:v>Maintain a clear interval invariant; binary-search the answer when feasible(x) is monotonic.</x:v>
      </x:c>
      <x:c r="E9" s="80" t="str">
        <x:v>O(log n) or O(n log range)</x:v>
      </x:c>
      <x:c r="F9" s="80" t="str">
        <x:v>Avoid overflow in mid: l + (r-l)/2.</x:v>
      </x:c>
    </x:row>
    <x:row r="10" ht="65" customHeight="1">
      <x:c r="A10" s="80" t="str">
        <x:v>Linked list</x:v>
      </x:c>
      <x:c r="B10" s="80" t="str">
        <x:v>Reverse, reorder, cycle, k-th from end</x:v>
      </x:c>
      <x:c r="C10" s="80" t="str">
        <x:v>Extra storage or repeated traversal.</x:v>
      </x:c>
      <x:c r="D10" s="80" t="str">
        <x:v>Dummy node, pointer rewiring, fast/slow pointers.</x:v>
      </x:c>
      <x:c r="E10" s="80" t="str">
        <x:v>O(n), usually O(1) extra</x:v>
      </x:c>
      <x:c r="F10" s="80" t="str">
        <x:v>Save next before changing links; test head/tail/single-node cases.</x:v>
      </x:c>
    </x:row>
    <x:row r="11" ht="65" customHeight="1">
      <x:c r="A11" s="80" t="str">
        <x:v>Tree DFS</x:v>
      </x:c>
      <x:c r="B11" s="80" t="str">
        <x:v>Subtree properties, paths, depth, LCA, best path</x:v>
      </x:c>
      <x:c r="C11" s="80" t="str">
        <x:v>Repeat traversals or enumerate paths.</x:v>
      </x:c>
      <x:c r="D11" s="80" t="str">
        <x:v>Return useful subtree state from recursion; keep global answer only when needed.</x:v>
      </x:c>
      <x:c r="E11" s="80" t="str">
        <x:v>O(n), O(h) recursion</x:v>
      </x:c>
      <x:c r="F11" s="80" t="str">
        <x:v>Clarify whether a path may start/end at any node or must reach a leaf.</x:v>
      </x:c>
    </x:row>
    <x:row r="12" ht="65" customHeight="1">
      <x:c r="A12" s="80" t="str">
        <x:v>Tree/Graph BFS</x:v>
      </x:c>
      <x:c r="B12" s="80" t="str">
        <x:v>Minimum moves in an unweighted graph, level order</x:v>
      </x:c>
      <x:c r="C12" s="80" t="str">
        <x:v>Enumerate paths or repeatedly expand states.</x:v>
      </x:c>
      <x:c r="D12" s="80" t="str">
        <x:v>Queue + visited; process queue size per level when distances matter.</x:v>
      </x:c>
      <x:c r="E12" s="80" t="str">
        <x:v>O(V+E)</x:v>
      </x:c>
      <x:c r="F12" s="80" t="str">
        <x:v>Mark visited when enqueuing to avoid duplicates.</x:v>
      </x:c>
    </x:row>
    <x:row r="13" ht="65" customHeight="1">
      <x:c r="A13" s="80" t="str">
        <x:v>Topological sort</x:v>
      </x:c>
      <x:c r="B13" s="80" t="str">
        <x:v>Prerequisites, dependency order, cycle in directed graph</x:v>
      </x:c>
      <x:c r="C13" s="80" t="str">
        <x:v>Try course orderings.</x:v>
      </x:c>
      <x:c r="D13" s="80" t="str">
        <x:v>Kahn's algorithm with indegrees or DFS color states.</x:v>
      </x:c>
      <x:c r="E13" s="80" t="str">
        <x:v>O(V+E)</x:v>
      </x:c>
      <x:c r="F13" s="80" t="str">
        <x:v>If processed node count &lt; V, a cycle exists.</x:v>
      </x:c>
    </x:row>
    <x:row r="14" ht="65" customHeight="1">
      <x:c r="A14" s="80" t="str">
        <x:v>Union-Find</x:v>
      </x:c>
      <x:c r="B14" s="80" t="str">
        <x:v>Connectivity, merging groups, redundant edge</x:v>
      </x:c>
      <x:c r="C14" s="80" t="str">
        <x:v>Run graph traversal after each added edge.</x:v>
      </x:c>
      <x:c r="D14" s="80" t="str">
        <x:v>DSU with path compression + union by size/rank.</x:v>
      </x:c>
      <x:c r="E14" s="80" t="str">
        <x:v>Nearly O(1) amortized per operation</x:v>
      </x:c>
      <x:c r="F14" s="80" t="str">
        <x:v>Use the return value of union to detect cycle edges.</x:v>
      </x:c>
    </x:row>
    <x:row r="15" ht="65" customHeight="1">
      <x:c r="A15" s="80" t="str">
        <x:v>Heap / top-K</x:v>
      </x:c>
      <x:c r="B15" s="80" t="str">
        <x:v>K largest/smallest, streaming median, merge k sorted sequences</x:v>
      </x:c>
      <x:c r="C15" s="80" t="str">
        <x:v>Sort everything or rescan all values repeatedly.</x:v>
      </x:c>
      <x:c r="D15" s="80" t="str">
        <x:v>Size-k heap or two-heaps structure.</x:v>
      </x:c>
      <x:c r="E15" s="80" t="str">
        <x:v>O(n log k), or O(log n) per update</x:v>
      </x:c>
      <x:c r="F15" s="80" t="str">
        <x:v>C++ priority_queue is max-heap by default; use greater&lt;&gt; for min-heap.</x:v>
      </x:c>
    </x:row>
    <x:row r="16" ht="65" customHeight="1">
      <x:c r="A16" s="80" t="str">
        <x:v>Monotonic stack</x:v>
      </x:c>
      <x:c r="B16" s="80" t="str">
        <x:v>Next greater/smaller, span, histogram rectangle</x:v>
      </x:c>
      <x:c r="C16" s="80" t="str">
        <x:v>Scan right/left from each index.</x:v>
      </x:c>
      <x:c r="D16" s="80" t="str">
        <x:v>Keep indices in monotonic order and resolve them when the invariant breaks.</x:v>
      </x:c>
      <x:c r="E16" s="80" t="str">
        <x:v>O(n)</x:v>
      </x:c>
      <x:c r="F16" s="80" t="str">
        <x:v>Store indices when widths/distances are needed.</x:v>
      </x:c>
    </x:row>
    <x:row r="17" ht="65" customHeight="1">
      <x:c r="A17" s="80" t="str">
        <x:v>Intervals / greedy</x:v>
      </x:c>
      <x:c r="B17" s="80" t="str">
        <x:v>Overlaps, meetings, minimum removals, schedule choices</x:v>
      </x:c>
      <x:c r="C17" s="80" t="str">
        <x:v>Compare every interval pair or explore many subsets.</x:v>
      </x:c>
      <x:c r="D17" s="80" t="str">
        <x:v>Sort by start/end; justify the greedy choice with an invariant.</x:v>
      </x:c>
      <x:c r="E17" s="80" t="str">
        <x:v>O(n log n)</x:v>
      </x:c>
      <x:c r="F17" s="80" t="str">
        <x:v>Be consistent about inclusive/exclusive endpoints.</x:v>
      </x:c>
    </x:row>
    <x:row r="18" ht="65" customHeight="1">
      <x:c r="A18" s="80" t="str">
        <x:v>Backtracking</x:v>
      </x:c>
      <x:c r="B18" s="80" t="str">
        <x:v>All combinations/permutations, constraints, Sudoku/word search</x:v>
      </x:c>
      <x:c r="C18" s="80" t="str">
        <x:v>Generate all possibilities and validate at the end.</x:v>
      </x:c>
      <x:c r="D18" s="80" t="str">
        <x:v>Choose→explore→unchoose; prune impossible partial states and skip duplicates.</x:v>
      </x:c>
      <x:c r="E18" s="80" t="str">
        <x:v>Exponential/output-sensitive</x:v>
      </x:c>
      <x:c r="F18" s="80" t="str">
        <x:v>Restore mutated state before returning; copy result paths.</x:v>
      </x:c>
    </x:row>
    <x:row r="19" ht="65" customHeight="1">
      <x:c r="A19" s="80" t="str">
        <x:v>Dynamic programming</x:v>
      </x:c>
      <x:c r="B19" s="80" t="str">
        <x:v>Count ways, min/max cost, subsequence, overlapping choices</x:v>
      </x:c>
      <x:c r="C19" s="80" t="str">
        <x:v>Naive recursive choices with repeated subproblems.</x:v>
      </x:c>
      <x:c r="D19" s="80" t="str">
        <x:v>Define state, base cases, transition, evaluation order; memoize then tabulate.</x:v>
      </x:c>
      <x:c r="E19" s="80" t="str">
        <x:v>States × transitions</x:v>
      </x:c>
      <x:c r="F19" s="80" t="str">
        <x:v>Write recurrence before coding; use long long when counts/sums can overflow.</x:v>
      </x:c>
    </x:row>
    <x:row r="20" ht="65" customHeight="1">
      <x:c r="A20" s="80" t="str">
        <x:v>Trie</x:v>
      </x:c>
      <x:c r="B20" s="80" t="str">
        <x:v>Prefix matching, dictionary words, autocomplete</x:v>
      </x:c>
      <x:c r="C20" s="80" t="str">
        <x:v>Scan all dictionary words for every prefix.</x:v>
      </x:c>
      <x:c r="D20" s="80" t="str">
        <x:v>Character-indexed trie nodes; optionally combine with DFS pruning.</x:v>
      </x:c>
      <x:c r="E20" s="80" t="str">
        <x:v>O(L) per operation</x:v>
      </x:c>
      <x:c r="F20" s="80" t="str">
        <x:v>Set end-of-word distinctly from just having children.</x:v>
      </x:c>
    </x:row>
    <x:row r="21" ht="65" customHeight="1">
      <x:c r="A21" s="80" t="str">
        <x:v>Bit manipulation</x:v>
      </x:c>
      <x:c r="B21" s="80" t="str">
        <x:v>XOR, single occurrence, masks, power-of-two</x:v>
      </x:c>
      <x:c r="C21" s="80" t="str">
        <x:v>Test candidates or inspect all bits one by one.</x:v>
      </x:c>
      <x:c r="D21" s="80" t="str">
        <x:v>Use XOR cancellation, bit masks, shifts, and invariants.</x:v>
      </x:c>
      <x:c r="E21" s="80" t="str">
        <x:v>Often O(1) or O(log n)</x:v>
      </x:c>
      <x:c r="F21" s="80" t="str">
        <x:v>Avoid shifting by the type width; watch signed shifts.</x:v>
      </x:c>
    </x:row>
    <x:row r="22" ht="65" customHeight="1">
      <x:c r="A22" s="80" t="str">
        <x:v>Matrix/grid</x:v>
      </x:c>
      <x:c r="B22" s="80" t="str">
        <x:v>Grid traversal, rotate, zero rows/columns, shortest path</x:v>
      </x:c>
      <x:c r="C22" s="80" t="str">
        <x:v>Extra matrix or repeated full scans.</x:v>
      </x:c>
      <x:c r="D22" s="80" t="str">
        <x:v>Exploit row/column ordering; one-pass traversal, in-place markers, BFS/DFS.</x:v>
      </x:c>
      <x:c r="E22" s="80" t="str">
        <x:v>O(rows × cols) typical</x:v>
      </x:c>
      <x:c r="F22" s="80" t="str">
        <x:v>Check dimensions and boundary conditions before indexing.</x:v>
      </x:c>
    </x:row>
  </x:sheetData>
  <x:mergeCells>
    <x:mergeCell ref="A1:F2"/>
  </x:mergeCells>
  <x:pageMargins left="0.7" right="0.7" top="0.75" bottom="0.75" header="0.3" footer="0.3"/>
  <x:tableParts count="1">
    <x:tablePart xmlns:r="http://schemas.openxmlformats.org/officeDocument/2006/relationships" r:id="Rcd25fffb0fc94c81"/>
  </x:tableParts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42" hidden="0" customWidth="1"/>
    <x:col min="3" max="3" width="58" hidden="0" customWidth="1"/>
    <x:col min="4" max="4" width="65" hidden="0" customWidth="1"/>
  </x:cols>
  <x:sheetData>
    <x:row r="1">
      <x:c r="A1" s="60" t="str">
        <x:v>SOURCES, DEFINITIONS &amp; DATA LIMITATIONS</x:v>
      </x:c>
      <x:c r="B1" s="60"/>
      <x:c r="C1" s="60"/>
      <x:c r="D1" s="60"/>
    </x:row>
    <x:row r="2">
      <x:c r="A2" s="60"/>
      <x:c r="B2" s="60"/>
      <x:c r="C2" s="60"/>
      <x:c r="D2" s="60"/>
    </x:row>
    <x:row r="4">
      <x:c r="A4" s="72" t="str">
        <x:v>Item</x:v>
      </x:c>
      <x:c r="B4" s="72" t="str">
        <x:v>Source / Value</x:v>
      </x:c>
      <x:c r="C4" s="72" t="str">
        <x:v>URL</x:v>
      </x:c>
      <x:c r="D4" s="72" t="str">
        <x:v>Notes</x:v>
      </x:c>
    </x:row>
    <x:row r="5" ht="55" customHeight="1">
      <x:c r="A5" s="80" t="str">
        <x:v>Your public LeetCode profile</x:v>
      </x:c>
      <x:c r="B5" s="80" t="str">
        <x:v>C++: 61 language-counted problems; Python3: 26 language-counted problems (visible in profile page checked 2026-10-25).</x:v>
      </x:c>
      <x:c r="C5" s="80" t="str">
        <x:v>https://leetcode.com/u/prajwal-h-rao/</x:v>
      </x:c>
      <x:c r="D5" s="80" t="str">
        <x:v>The public profile view did not expose the exact per-language problem-title list. Language counts may overlap and must not be summed as unique problems.</x:v>
      </x:c>
    </x:row>
    <x:row r="6" ht="55" customHeight="1">
      <x:c r="A6" s="80" t="str">
        <x:v>Official LeetCode interview plan</x:v>
      </x:c>
      <x:c r="B6" s="80" t="str">
        <x:v>Top Interview 150</x:v>
      </x:c>
      <x:c r="C6" s="80" t="str">
        <x:v>https://leetcode.com/studyplan/top-interview-150/</x:v>
      </x:c>
      <x:c r="D6" s="80" t="str">
        <x:v>Useful broad interview-practice coverage; this workbook is a 400-question curated bank, not a copy of a single list.</x:v>
      </x:c>
    </x:row>
    <x:row r="7" ht="55" customHeight="1">
      <x:c r="A7" s="80" t="str">
        <x:v>Amazon frequency signal</x:v>
      </x:c>
      <x:c r="B7" s="80" t="str">
        <x:v>Community-reported Amazon question frequencies</x:v>
      </x:c>
      <x:c r="C7" s="80" t="str">
        <x:v>https://leakcode.dev/blog/amazon-interview-questions-2026</x:v>
      </x:c>
      <x:c r="D7" s="80" t="str">
        <x:v>Third-party candidate reports are not official Amazon data and do not guarantee future interview questions.</x:v>
      </x:c>
    </x:row>
    <x:row r="8" ht="55" customHeight="1">
      <x:c r="A8" s="80" t="str">
        <x:v>Additional community bank</x:v>
      </x:c>
      <x:c r="B8" s="80" t="str">
        <x:v>Amazon-tagged questions and topic distribution</x:v>
      </x:c>
      <x:c r="C8" s="80" t="str">
        <x:v>https://www.leetmap-pro.com/company/amazon</x:v>
      </x:c>
      <x:c r="D8" s="80" t="str">
        <x:v>Use as a prioritization signal, not as proof that a question will be asked.</x:v>
      </x:c>
    </x:row>
    <x:row r="9" ht="55" customHeight="1">
      <x:c r="A9" s="80" t="str">
        <x:v>Source for each tracker row</x:v>
      </x:c>
      <x:c r="B9" s="80" t="str">
        <x:v>Official LeetCode problem page</x:v>
      </x:c>
      <x:c r="C9" s="80" t="str">
        <x:v>Per-row URL in Question Tracker</x:v>
      </x:c>
      <x:c r="D9" s="80" t="str">
        <x:v>Use this for the canonical statement and constraints. Approach notes in the workbook are study prompts, not substitutes for checking the original statement.</x:v>
      </x:c>
    </x:row>
    <x:row r="10" ht="55" customHeight="1">
      <x:c r="A10" s="80" t="str">
        <x:v>P1 / P2 / P3 labels</x:v>
      </x:c>
      <x:c r="B10" s="80" t="str">
        <x:v>Editorial learning priority</x:v>
      </x:c>
      <x:c r="C10" s="80" t="str"/>
      <x:c r="D10" s="80" t="str">
        <x:v>P1 = foundational/high-yield; P2 = pattern expansion; P3 = advanced or more specialized. These are study priorities, not a prediction score.</x:v>
      </x:c>
    </x:row>
    <x:row r="11" ht="55" customHeight="1">
      <x:c r="A11" s="80" t="str">
        <x:v>New target definition</x:v>
      </x:c>
      <x:c r="B11" s="80" t="str">
        <x:v>400 distinct fresh problem solves</x:v>
      </x:c>
      <x:c r="C11" s="80" t="str"/>
      <x:c r="D11" s="80" t="str">
        <x:v>A problem counts only when Work Type is New (counts toward 400) and C++ Status is Solved or Revised. Revisions and Python→C++ conversions do not count.</x:v>
      </x:c>
    </x:row>
    <x:row r="12" ht="55" customHeight="1">
      <x:c r="A12" s="80" t="str">
        <x:v>Python→C++ intake</x:v>
      </x:c>
      <x:c r="B12" s="80" t="str">
        <x:v>26 blank conversion slots</x:v>
      </x:c>
      <x:c r="C12" s="80" t="str"/>
      <x:c r="D12" s="80" t="str">
        <x:v>Fill the exact titles/IDs from your Python3 solved history. Do not share your password, OTP, session cookie, or other login secrets.</x:v>
      </x:c>
    </x:row>
  </x:sheetData>
  <x:mergeCells>
    <x:mergeCell ref="A1:D2"/>
  </x:mergeCells>
  <x:pageMargins left="0.7" right="0.7" top="0.75" bottom="0.75" header="0.3" footer="0.3"/>
  <x:tableParts count="1">
    <x:tablePart xmlns:r="http://schemas.openxmlformats.org/officeDocument/2006/relationships" r:id="R89b3c4b5f876493e"/>
  </x:tableParts>
</x:worksheet>
</file>